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555" windowWidth="15120" windowHeight="669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G1" i="1" l="1"/>
  <c r="H16" i="1" l="1"/>
  <c r="C20" i="1" l="1"/>
  <c r="C21" i="1"/>
  <c r="C5" i="1" l="1"/>
  <c r="C6" i="1"/>
  <c r="C7" i="1"/>
  <c r="C8" i="1"/>
  <c r="C9" i="1"/>
  <c r="C22" i="1" l="1"/>
  <c r="D22" i="1" s="1"/>
  <c r="D21" i="1"/>
  <c r="E21" i="1" s="1"/>
  <c r="D20" i="1"/>
  <c r="C19" i="1"/>
  <c r="D19" i="1" s="1"/>
  <c r="C18" i="1"/>
  <c r="D18" i="1" s="1"/>
  <c r="C17" i="1"/>
  <c r="D17" i="1" s="1"/>
  <c r="C16" i="1"/>
  <c r="D16" i="1" s="1"/>
  <c r="C15" i="1"/>
  <c r="D15" i="1" s="1"/>
  <c r="C14" i="1"/>
  <c r="D14" i="1" s="1"/>
  <c r="C13" i="1"/>
  <c r="D13" i="1" s="1"/>
  <c r="C12" i="1"/>
  <c r="D12" i="1" s="1"/>
  <c r="C11" i="1"/>
  <c r="D11" i="1" s="1"/>
  <c r="C10" i="1"/>
  <c r="D10" i="1" s="1"/>
  <c r="D9" i="1"/>
  <c r="D8" i="1"/>
  <c r="D7" i="1"/>
  <c r="D6" i="1"/>
  <c r="D5" i="1"/>
  <c r="C4" i="1"/>
  <c r="D4" i="1" s="1"/>
  <c r="C3" i="1"/>
  <c r="D3" i="1" s="1"/>
  <c r="C2" i="1"/>
  <c r="D2" i="1" s="1"/>
  <c r="C1" i="1"/>
  <c r="D1" i="1" s="1"/>
  <c r="M2" i="2" l="1"/>
  <c r="L2" i="2"/>
  <c r="K2" i="2"/>
  <c r="J2" i="2"/>
  <c r="I2" i="2"/>
  <c r="C24" i="1"/>
  <c r="E20" i="1" l="1"/>
</calcChain>
</file>

<file path=xl/sharedStrings.xml><?xml version="1.0" encoding="utf-8"?>
<sst xmlns="http://schemas.openxmlformats.org/spreadsheetml/2006/main" count="171" uniqueCount="41">
  <si>
    <t>D0</t>
  </si>
  <si>
    <t>D1</t>
  </si>
  <si>
    <t>D2</t>
  </si>
  <si>
    <t>D3</t>
  </si>
  <si>
    <t>D4</t>
  </si>
  <si>
    <t>COM NO</t>
  </si>
  <si>
    <t>Maintenance</t>
  </si>
  <si>
    <t>Quality</t>
  </si>
  <si>
    <t>PC&amp;L</t>
  </si>
  <si>
    <t>RecordCounter</t>
  </si>
  <si>
    <t>013A2040B5557A</t>
  </si>
  <si>
    <t>Xbee Address</t>
  </si>
  <si>
    <t>Start Time</t>
  </si>
  <si>
    <t>End Time</t>
  </si>
  <si>
    <t>Breakdown Type</t>
  </si>
  <si>
    <t>Total Breakdown time</t>
  </si>
  <si>
    <t>Production</t>
  </si>
  <si>
    <t>C/0</t>
  </si>
  <si>
    <t xml:space="preserve">Line </t>
  </si>
  <si>
    <t>Andon Dashboard</t>
  </si>
  <si>
    <t>Changeover</t>
  </si>
  <si>
    <t>D11</t>
  </si>
  <si>
    <t>D12</t>
  </si>
  <si>
    <t>Send to SQL</t>
  </si>
  <si>
    <t>_x0012_</t>
  </si>
  <si>
    <t>’</t>
  </si>
  <si>
    <t>_x0013_</t>
  </si>
  <si>
    <t>¢</t>
  </si>
  <si>
    <t>A</t>
  </si>
  <si>
    <t>c</t>
  </si>
  <si>
    <t>&gt;</t>
  </si>
  <si>
    <t>_x0001_</t>
  </si>
  <si>
    <t>_x0018_</t>
  </si>
  <si>
    <t>_x001E_</t>
  </si>
  <si>
    <t>&lt;</t>
  </si>
  <si>
    <t>•</t>
  </si>
  <si>
    <t>Response</t>
  </si>
  <si>
    <t>Error Counter</t>
  </si>
  <si>
    <t>_x0010_</t>
  </si>
  <si>
    <t>_x001C_</t>
  </si>
  <si>
    <t>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</si>
</sst>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5" x14ac:knownFonts="1"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6"/>
      <color rgb="FF00B0F0"/>
      <name val="Calibri"/>
      <family val="2"/>
      <scheme val="minor"/>
    </font>
    <font>
      <b/>
      <sz val="16"/>
      <color rgb="FFFFC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6"/>
      <color theme="7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28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thin">
        <color rgb="FFFFFF00"/>
      </left>
      <right/>
      <top/>
      <bottom/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 style="thin">
        <color rgb="FFFFFF00"/>
      </bottom>
      <diagonal/>
    </border>
    <border>
      <left style="thin">
        <color rgb="FFFFFF00"/>
      </left>
      <right style="thin">
        <color rgb="FFFFFF00"/>
      </right>
      <top style="thin">
        <color rgb="FFFFFF00"/>
      </top>
      <bottom/>
      <diagonal/>
    </border>
    <border>
      <left style="thin">
        <color rgb="FFFFFF00"/>
      </left>
      <right/>
      <top/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/>
      <diagonal/>
    </border>
    <border>
      <left style="thin">
        <color rgb="FFFFFF00"/>
      </left>
      <right style="thin">
        <color rgb="FFFFFF00"/>
      </right>
      <top/>
      <bottom style="thin">
        <color rgb="FFFFFF00"/>
      </bottom>
      <diagonal/>
    </border>
    <border>
      <left/>
      <right style="thin">
        <color rgb="FFFFFF00"/>
      </right>
      <top style="thin">
        <color rgb="FFFFFF00"/>
      </top>
      <bottom/>
      <diagonal/>
    </border>
    <border>
      <left/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 style="thin">
        <color rgb="FFFFFF00"/>
      </right>
      <top/>
      <bottom/>
      <diagonal/>
    </border>
    <border>
      <left/>
      <right style="thin">
        <color rgb="FFFFFF00"/>
      </right>
      <top/>
      <bottom style="thin">
        <color rgb="FFFFFF00"/>
      </bottom>
      <diagonal/>
    </border>
    <border>
      <left/>
      <right style="thin">
        <color rgb="FFFFFF00"/>
      </right>
      <top/>
      <bottom/>
      <diagonal/>
    </border>
    <border>
      <left/>
      <right/>
      <top style="thin">
        <color rgb="FFFFFF00"/>
      </top>
      <bottom style="thin">
        <color rgb="FFFFFF00"/>
      </bottom>
      <diagonal/>
    </border>
    <border>
      <left/>
      <right/>
      <top style="thin">
        <color rgb="FFFFFF00"/>
      </top>
      <bottom/>
      <diagonal/>
    </border>
    <border>
      <left/>
      <right/>
      <top/>
      <bottom style="thin">
        <color rgb="FFFFFF0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/>
      <bottom/>
      <diagonal/>
    </border>
    <border>
      <left/>
      <right/>
      <top/>
      <bottom style="thin">
        <color theme="3"/>
      </bottom>
      <diagonal/>
    </border>
    <border>
      <left style="thin">
        <color theme="0"/>
      </left>
      <right style="thin">
        <color theme="3"/>
      </right>
      <top/>
      <bottom style="thin">
        <color theme="3"/>
      </bottom>
      <diagonal/>
    </border>
    <border>
      <left/>
      <right style="thin">
        <color theme="3"/>
      </right>
      <top style="thin">
        <color theme="3"/>
      </top>
      <bottom/>
      <diagonal/>
    </border>
    <border>
      <left/>
      <right style="thin">
        <color theme="3"/>
      </right>
      <top/>
      <bottom/>
      <diagonal/>
    </border>
    <border>
      <left/>
      <right style="thin">
        <color theme="3"/>
      </right>
      <top/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3"/>
      </right>
      <top/>
      <bottom/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  <border>
      <left style="thin">
        <color theme="3"/>
      </left>
      <right/>
      <top style="thin">
        <color theme="3"/>
      </top>
      <bottom/>
      <diagonal/>
    </border>
    <border>
      <left style="thin">
        <color theme="3"/>
      </left>
      <right/>
      <top/>
      <bottom/>
      <diagonal/>
    </border>
    <border>
      <left style="thin">
        <color theme="3"/>
      </left>
      <right/>
      <top/>
      <bottom style="thin">
        <color theme="3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2" borderId="0" xfId="0" applyFill="1"/>
    <xf numFmtId="0" fontId="1" fillId="2" borderId="2" xfId="0" applyFont="1" applyFill="1" applyBorder="1"/>
    <xf numFmtId="0" fontId="1" fillId="2" borderId="3" xfId="0" applyFont="1" applyFill="1" applyBorder="1"/>
    <xf numFmtId="164" fontId="1" fillId="2" borderId="2" xfId="0" applyNumberFormat="1" applyFont="1" applyFill="1" applyBorder="1"/>
    <xf numFmtId="164" fontId="1" fillId="2" borderId="4" xfId="0" applyNumberFormat="1" applyFont="1" applyFill="1" applyBorder="1"/>
    <xf numFmtId="164" fontId="0" fillId="2" borderId="0" xfId="0" applyNumberFormat="1" applyFill="1"/>
    <xf numFmtId="0" fontId="1" fillId="2" borderId="4" xfId="0" applyFont="1" applyFill="1" applyBorder="1"/>
    <xf numFmtId="0" fontId="1" fillId="2" borderId="1" xfId="0" applyFont="1" applyFill="1" applyBorder="1"/>
    <xf numFmtId="0" fontId="1" fillId="2" borderId="9" xfId="0" applyFont="1" applyFill="1" applyBorder="1"/>
    <xf numFmtId="164" fontId="1" fillId="2" borderId="9" xfId="0" applyNumberFormat="1" applyFont="1" applyFill="1" applyBorder="1"/>
    <xf numFmtId="164" fontId="1" fillId="2" borderId="10" xfId="0" applyNumberFormat="1" applyFont="1" applyFill="1" applyBorder="1"/>
    <xf numFmtId="0" fontId="1" fillId="2" borderId="11" xfId="0" applyFont="1" applyFill="1" applyBorder="1"/>
    <xf numFmtId="0" fontId="1" fillId="2" borderId="7" xfId="0" applyFont="1" applyFill="1" applyBorder="1"/>
    <xf numFmtId="0" fontId="1" fillId="2" borderId="5" xfId="0" applyFont="1" applyFill="1" applyBorder="1"/>
    <xf numFmtId="164" fontId="1" fillId="2" borderId="7" xfId="0" applyNumberFormat="1" applyFont="1" applyFill="1" applyBorder="1"/>
    <xf numFmtId="164" fontId="1" fillId="2" borderId="11" xfId="0" applyNumberFormat="1" applyFont="1" applyFill="1" applyBorder="1"/>
    <xf numFmtId="0" fontId="0" fillId="2" borderId="0" xfId="0" applyFill="1" applyBorder="1"/>
    <xf numFmtId="0" fontId="1" fillId="2" borderId="10" xfId="0" applyFont="1" applyFill="1" applyBorder="1"/>
    <xf numFmtId="164" fontId="1" fillId="2" borderId="8" xfId="0" applyNumberFormat="1" applyFont="1" applyFill="1" applyBorder="1"/>
    <xf numFmtId="164" fontId="1" fillId="2" borderId="12" xfId="0" applyNumberFormat="1" applyFont="1" applyFill="1" applyBorder="1"/>
    <xf numFmtId="0" fontId="0" fillId="2" borderId="0" xfId="0" applyNumberFormat="1" applyFont="1" applyFill="1"/>
    <xf numFmtId="0" fontId="0" fillId="2" borderId="1" xfId="0" applyNumberFormat="1" applyFont="1" applyFill="1" applyBorder="1"/>
    <xf numFmtId="0" fontId="2" fillId="3" borderId="4" xfId="0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0" fontId="1" fillId="2" borderId="0" xfId="0" applyFont="1" applyFill="1" applyBorder="1"/>
    <xf numFmtId="164" fontId="3" fillId="2" borderId="0" xfId="0" applyNumberFormat="1" applyFont="1" applyFill="1"/>
    <xf numFmtId="0" fontId="0" fillId="2" borderId="10" xfId="0" applyFill="1" applyBorder="1"/>
    <xf numFmtId="0" fontId="0" fillId="2" borderId="7" xfId="0" applyFill="1" applyBorder="1"/>
    <xf numFmtId="164" fontId="0" fillId="2" borderId="10" xfId="0" applyNumberFormat="1" applyFill="1" applyBorder="1"/>
    <xf numFmtId="164" fontId="0" fillId="2" borderId="7" xfId="0" applyNumberFormat="1" applyFill="1" applyBorder="1"/>
    <xf numFmtId="164" fontId="1" fillId="2" borderId="6" xfId="0" applyNumberFormat="1" applyFont="1" applyFill="1" applyBorder="1"/>
    <xf numFmtId="164" fontId="1" fillId="2" borderId="1" xfId="0" applyNumberFormat="1" applyFont="1" applyFill="1" applyBorder="1"/>
    <xf numFmtId="164" fontId="0" fillId="2" borderId="1" xfId="0" applyNumberFormat="1" applyFill="1" applyBorder="1"/>
    <xf numFmtId="164" fontId="0" fillId="2" borderId="5" xfId="0" applyNumberFormat="1" applyFill="1" applyBorder="1"/>
    <xf numFmtId="0" fontId="1" fillId="2" borderId="14" xfId="0" applyFont="1" applyFill="1" applyBorder="1"/>
    <xf numFmtId="164" fontId="0" fillId="2" borderId="12" xfId="0" applyNumberFormat="1" applyFill="1" applyBorder="1"/>
    <xf numFmtId="0" fontId="0" fillId="2" borderId="15" xfId="0" applyFill="1" applyBorder="1"/>
    <xf numFmtId="164" fontId="0" fillId="2" borderId="11" xfId="0" applyNumberFormat="1" applyFill="1" applyBorder="1"/>
    <xf numFmtId="164" fontId="0" fillId="2" borderId="9" xfId="0" applyNumberFormat="1" applyFill="1" applyBorder="1"/>
    <xf numFmtId="0" fontId="0" fillId="2" borderId="2" xfId="0" applyFill="1" applyBorder="1"/>
    <xf numFmtId="164" fontId="1" fillId="2" borderId="3" xfId="0" applyNumberFormat="1" applyFont="1" applyFill="1" applyBorder="1"/>
    <xf numFmtId="0" fontId="1" fillId="2" borderId="13" xfId="0" applyFont="1" applyFill="1" applyBorder="1"/>
    <xf numFmtId="164" fontId="0" fillId="2" borderId="3" xfId="0" applyNumberFormat="1" applyFill="1" applyBorder="1"/>
    <xf numFmtId="164" fontId="0" fillId="2" borderId="2" xfId="0" applyNumberFormat="1" applyFill="1" applyBorder="1"/>
    <xf numFmtId="0" fontId="0" fillId="2" borderId="13" xfId="0" applyFill="1" applyBorder="1"/>
    <xf numFmtId="0" fontId="0" fillId="2" borderId="4" xfId="0" applyFill="1" applyBorder="1"/>
    <xf numFmtId="0" fontId="5" fillId="2" borderId="0" xfId="0" applyFont="1" applyFill="1" applyAlignment="1">
      <alignment vertical="center"/>
    </xf>
    <xf numFmtId="0" fontId="2" fillId="4" borderId="0" xfId="0" applyFont="1" applyFill="1"/>
    <xf numFmtId="0" fontId="0" fillId="4" borderId="0" xfId="0" applyFill="1"/>
    <xf numFmtId="0" fontId="5" fillId="4" borderId="0" xfId="0" applyFont="1" applyFill="1" applyAlignment="1">
      <alignment vertical="center"/>
    </xf>
    <xf numFmtId="164" fontId="6" fillId="4" borderId="0" xfId="0" applyNumberFormat="1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0" fillId="4" borderId="0" xfId="0" applyFill="1" applyBorder="1"/>
    <xf numFmtId="0" fontId="4" fillId="4" borderId="0" xfId="0" applyFont="1" applyFill="1"/>
    <xf numFmtId="0" fontId="4" fillId="4" borderId="0" xfId="0" applyFont="1" applyFill="1" applyBorder="1"/>
    <xf numFmtId="0" fontId="2" fillId="4" borderId="16" xfId="0" applyFont="1" applyFill="1" applyBorder="1"/>
    <xf numFmtId="0" fontId="2" fillId="4" borderId="18" xfId="0" applyFont="1" applyFill="1" applyBorder="1"/>
    <xf numFmtId="0" fontId="13" fillId="4" borderId="0" xfId="0" applyFont="1" applyFill="1"/>
    <xf numFmtId="0" fontId="13" fillId="4" borderId="0" xfId="0" applyFont="1" applyFill="1" applyBorder="1"/>
    <xf numFmtId="0" fontId="0" fillId="4" borderId="21" xfId="0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4" borderId="26" xfId="0" applyFill="1" applyBorder="1"/>
    <xf numFmtId="0" fontId="0" fillId="4" borderId="27" xfId="0" applyFill="1" applyBorder="1"/>
    <xf numFmtId="0" fontId="0" fillId="4" borderId="28" xfId="0" applyFill="1" applyBorder="1"/>
    <xf numFmtId="164" fontId="1" fillId="4" borderId="27" xfId="0" applyNumberFormat="1" applyFont="1" applyFill="1" applyBorder="1"/>
    <xf numFmtId="164" fontId="1" fillId="4" borderId="28" xfId="0" applyNumberFormat="1" applyFont="1" applyFill="1" applyBorder="1"/>
    <xf numFmtId="164" fontId="0" fillId="4" borderId="29" xfId="0" applyNumberFormat="1" applyFill="1" applyBorder="1"/>
    <xf numFmtId="164" fontId="1" fillId="4" borderId="30" xfId="0" applyNumberFormat="1" applyFont="1" applyFill="1" applyBorder="1"/>
    <xf numFmtId="164" fontId="1" fillId="4" borderId="31" xfId="0" applyNumberFormat="1" applyFont="1" applyFill="1" applyBorder="1"/>
    <xf numFmtId="0" fontId="13" fillId="4" borderId="19" xfId="0" applyFont="1" applyFill="1" applyBorder="1"/>
    <xf numFmtId="0" fontId="13" fillId="4" borderId="32" xfId="0" applyFont="1" applyFill="1" applyBorder="1"/>
    <xf numFmtId="0" fontId="13" fillId="4" borderId="26" xfId="0" applyFont="1" applyFill="1" applyBorder="1"/>
    <xf numFmtId="0" fontId="13" fillId="4" borderId="33" xfId="0" applyFont="1" applyFill="1" applyBorder="1"/>
    <xf numFmtId="0" fontId="13" fillId="4" borderId="34" xfId="0" applyFont="1" applyFill="1" applyBorder="1"/>
    <xf numFmtId="0" fontId="13" fillId="4" borderId="27" xfId="0" applyFont="1" applyFill="1" applyBorder="1"/>
    <xf numFmtId="0" fontId="13" fillId="4" borderId="28" xfId="0" applyFont="1" applyFill="1" applyBorder="1"/>
    <xf numFmtId="0" fontId="13" fillId="4" borderId="29" xfId="0" applyFont="1" applyFill="1" applyBorder="1"/>
    <xf numFmtId="0" fontId="13" fillId="4" borderId="30" xfId="0" applyFont="1" applyFill="1" applyBorder="1"/>
    <xf numFmtId="0" fontId="13" fillId="4" borderId="31" xfId="0" applyFont="1" applyFill="1" applyBorder="1"/>
    <xf numFmtId="0" fontId="13" fillId="4" borderId="35" xfId="0" applyFont="1" applyFill="1" applyBorder="1"/>
    <xf numFmtId="0" fontId="13" fillId="4" borderId="20" xfId="0" applyFont="1" applyFill="1" applyBorder="1"/>
    <xf numFmtId="0" fontId="13" fillId="4" borderId="17" xfId="0" applyFont="1" applyFill="1" applyBorder="1"/>
    <xf numFmtId="0" fontId="13" fillId="4" borderId="18" xfId="0" applyFont="1" applyFill="1" applyBorder="1"/>
    <xf numFmtId="0" fontId="14" fillId="4" borderId="0" xfId="0" applyFont="1" applyFill="1" applyAlignment="1">
      <alignment vertical="center"/>
    </xf>
    <xf numFmtId="164" fontId="11" fillId="4" borderId="0" xfId="0" applyNumberFormat="1" applyFont="1" applyFill="1" applyBorder="1" applyAlignment="1">
      <alignment horizontal="center"/>
    </xf>
    <xf numFmtId="0" fontId="14" fillId="4" borderId="0" xfId="0" applyFont="1" applyFill="1" applyAlignment="1">
      <alignment horizontal="center" vertical="center"/>
    </xf>
  </cellXfs>
  <cellStyles count="1">
    <cellStyle name="Normal" xfId="0" builtinId="0"/>
  </cellStyles>
  <dxfs count="6">
    <dxf>
      <fill>
        <patternFill>
          <bgColor theme="7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Sheet2!$I$1:$M$1</c:f>
              <c:strCache>
                <c:ptCount val="5"/>
                <c:pt idx="0">
                  <c:v>Production</c:v>
                </c:pt>
                <c:pt idx="1">
                  <c:v>Quality</c:v>
                </c:pt>
                <c:pt idx="2">
                  <c:v>Changeover</c:v>
                </c:pt>
                <c:pt idx="3">
                  <c:v>PC&amp;L</c:v>
                </c:pt>
                <c:pt idx="4">
                  <c:v>Maintenance</c:v>
                </c:pt>
              </c:strCache>
            </c:strRef>
          </c:cat>
          <c:val>
            <c:numRef>
              <c:f>Sheet2!$I$2:$M$2</c:f>
              <c:numCache>
                <c:formatCode>General</c:formatCode>
                <c:ptCount val="5"/>
                <c:pt idx="0">
                  <c:v>-1286</c:v>
                </c:pt>
                <c:pt idx="1">
                  <c:v>-308</c:v>
                </c:pt>
                <c:pt idx="2">
                  <c:v>-108</c:v>
                </c:pt>
                <c:pt idx="3">
                  <c:v>-2565</c:v>
                </c:pt>
                <c:pt idx="4">
                  <c:v>-400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442240"/>
        <c:axId val="200443776"/>
      </c:barChart>
      <c:catAx>
        <c:axId val="200442240"/>
        <c:scaling>
          <c:orientation val="minMax"/>
        </c:scaling>
        <c:delete val="0"/>
        <c:axPos val="b"/>
        <c:majorTickMark val="out"/>
        <c:minorTickMark val="none"/>
        <c:tickLblPos val="nextTo"/>
        <c:crossAx val="200443776"/>
        <c:crosses val="autoZero"/>
        <c:auto val="1"/>
        <c:lblAlgn val="ctr"/>
        <c:lblOffset val="100"/>
        <c:noMultiLvlLbl val="0"/>
      </c:catAx>
      <c:valAx>
        <c:axId val="20044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4422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Sheet2!$I$1:$M$1</c:f>
              <c:strCache>
                <c:ptCount val="5"/>
                <c:pt idx="0">
                  <c:v>Production</c:v>
                </c:pt>
                <c:pt idx="1">
                  <c:v>Quality</c:v>
                </c:pt>
                <c:pt idx="2">
                  <c:v>Changeover</c:v>
                </c:pt>
                <c:pt idx="3">
                  <c:v>PC&amp;L</c:v>
                </c:pt>
                <c:pt idx="4">
                  <c:v>Maintenance</c:v>
                </c:pt>
              </c:strCache>
            </c:strRef>
          </c:cat>
          <c:val>
            <c:numRef>
              <c:f>Sheet2!$I$2:$M$2</c:f>
              <c:numCache>
                <c:formatCode>General</c:formatCode>
                <c:ptCount val="5"/>
                <c:pt idx="0">
                  <c:v>-1286</c:v>
                </c:pt>
                <c:pt idx="1">
                  <c:v>-308</c:v>
                </c:pt>
                <c:pt idx="2">
                  <c:v>-108</c:v>
                </c:pt>
                <c:pt idx="3">
                  <c:v>-2565</c:v>
                </c:pt>
                <c:pt idx="4">
                  <c:v>-400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cid:image001.jpg@01D33784.D8F06400" TargetMode="External"/><Relationship Id="rId2" Type="http://schemas.openxmlformats.org/officeDocument/2006/relationships/image" Target="../media/image5.jpeg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11</xdr:row>
          <xdr:rowOff>76200</xdr:rowOff>
        </xdr:from>
        <xdr:to>
          <xdr:col>11</xdr:col>
          <xdr:colOff>1000125</xdr:colOff>
          <xdr:row>13</xdr:row>
          <xdr:rowOff>104775</xdr:rowOff>
        </xdr:to>
        <xdr:sp macro="" textlink="">
          <xdr:nvSpPr>
            <xdr:cNvPr id="1026" name="CommandButton24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104775</xdr:colOff>
          <xdr:row>11</xdr:row>
          <xdr:rowOff>85725</xdr:rowOff>
        </xdr:from>
        <xdr:to>
          <xdr:col>12</xdr:col>
          <xdr:colOff>942975</xdr:colOff>
          <xdr:row>13</xdr:row>
          <xdr:rowOff>133350</xdr:rowOff>
        </xdr:to>
        <xdr:sp macro="" textlink="">
          <xdr:nvSpPr>
            <xdr:cNvPr id="1027" name="CommandButton25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11</xdr:row>
          <xdr:rowOff>95250</xdr:rowOff>
        </xdr:from>
        <xdr:to>
          <xdr:col>13</xdr:col>
          <xdr:colOff>962025</xdr:colOff>
          <xdr:row>13</xdr:row>
          <xdr:rowOff>104775</xdr:rowOff>
        </xdr:to>
        <xdr:sp macro="" textlink="">
          <xdr:nvSpPr>
            <xdr:cNvPr id="1028" name="CommandButton26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14</xdr:col>
      <xdr:colOff>831881</xdr:colOff>
      <xdr:row>0</xdr:row>
      <xdr:rowOff>0</xdr:rowOff>
    </xdr:from>
    <xdr:to>
      <xdr:col>17</xdr:col>
      <xdr:colOff>95250</xdr:colOff>
      <xdr:row>6</xdr:row>
      <xdr:rowOff>11206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2756" y="0"/>
          <a:ext cx="2406619" cy="1297081"/>
        </a:xfrm>
        <a:prstGeom prst="rect">
          <a:avLst/>
        </a:prstGeom>
      </xdr:spPr>
    </xdr:pic>
    <xdr:clientData/>
  </xdr:twoCellAnchor>
  <xdr:twoCellAnchor>
    <xdr:from>
      <xdr:col>9</xdr:col>
      <xdr:colOff>59531</xdr:colOff>
      <xdr:row>0</xdr:row>
      <xdr:rowOff>154782</xdr:rowOff>
    </xdr:from>
    <xdr:to>
      <xdr:col>11</xdr:col>
      <xdr:colOff>642937</xdr:colOff>
      <xdr:row>4</xdr:row>
      <xdr:rowOff>2382</xdr:rowOff>
    </xdr:to>
    <xdr:pic>
      <xdr:nvPicPr>
        <xdr:cNvPr id="12" name="Picture 11" descr="https://group.faurecia/com/Graphic%20Standards/2017/Contents_GraphStand-2017/1_Visual%20Identity/3_Logo%20Group/Faurecia_inspiring_mobility_logo/JPEG/Faurecia_inspiring_mobility_logo-CMJN.jpg"/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" y="154782"/>
          <a:ext cx="2238375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4</xdr:row>
      <xdr:rowOff>100012</xdr:rowOff>
    </xdr:from>
    <xdr:to>
      <xdr:col>12</xdr:col>
      <xdr:colOff>238125</xdr:colOff>
      <xdr:row>18</xdr:row>
      <xdr:rowOff>176212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161925</xdr:colOff>
      <xdr:row>21</xdr:row>
      <xdr:rowOff>114300</xdr:rowOff>
    </xdr:from>
    <xdr:to>
      <xdr:col>11</xdr:col>
      <xdr:colOff>333375</xdr:colOff>
      <xdr:row>36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50"/>
  <sheetViews>
    <sheetView showGridLines="0" tabSelected="1" zoomScale="80" zoomScaleNormal="80" workbookViewId="0">
      <selection activeCell="I7" sqref="I7"/>
    </sheetView>
  </sheetViews>
  <sheetFormatPr defaultColWidth="0" defaultRowHeight="15" zeroHeight="1" x14ac:dyDescent="0.25"/>
  <cols>
    <col min="1" max="1" width="9.140625" customWidth="1"/>
    <col min="2" max="2" width="15.140625" customWidth="1"/>
    <col min="3" max="5" width="9.140625" customWidth="1"/>
    <col min="6" max="6" width="12.85546875" customWidth="1"/>
    <col min="7" max="7" width="9.140625" customWidth="1"/>
    <col min="8" max="8" width="7.42578125" customWidth="1"/>
    <col min="9" max="10" width="9.140625" customWidth="1"/>
    <col min="11" max="17" width="15.7109375" customWidth="1"/>
    <col min="18" max="18" width="5.7109375" customWidth="1"/>
    <col min="19" max="19" width="15.7109375" hidden="1" customWidth="1"/>
    <col min="20" max="20" width="5.7109375" hidden="1" customWidth="1"/>
    <col min="21" max="21" width="15.7109375" hidden="1" customWidth="1"/>
    <col min="22" max="22" width="5.7109375" hidden="1" customWidth="1"/>
    <col min="23" max="23" width="15.7109375" hidden="1" customWidth="1"/>
    <col min="24" max="24" width="5.7109375" hidden="1" customWidth="1"/>
    <col min="25" max="28" width="15.7109375" hidden="1" customWidth="1"/>
    <col min="29" max="30" width="0" hidden="1" customWidth="1"/>
    <col min="31" max="31" width="0" style="1" hidden="1" customWidth="1"/>
    <col min="32" max="16384" width="9.140625" hidden="1"/>
  </cols>
  <sheetData>
    <row r="1" spans="1:30" ht="15" customHeight="1" x14ac:dyDescent="0.25">
      <c r="B1" s="64"/>
      <c r="C1" s="90">
        <f t="shared" ref="C1:C22" si="0">IFERROR(CODE(A1),0)</f>
        <v>0</v>
      </c>
      <c r="D1" s="90" t="str">
        <f t="shared" ref="D1:D22" si="1">DEC2HEX(C1)</f>
        <v>0</v>
      </c>
      <c r="E1" s="91"/>
      <c r="F1" s="90" t="s">
        <v>5</v>
      </c>
      <c r="G1" s="90">
        <f>N16</f>
        <v>9</v>
      </c>
      <c r="H1" s="90" t="s">
        <v>0</v>
      </c>
      <c r="I1" s="90">
        <v>0</v>
      </c>
      <c r="J1" s="64"/>
      <c r="K1" s="95" t="s">
        <v>19</v>
      </c>
      <c r="L1" s="95"/>
      <c r="M1" s="95"/>
      <c r="N1" s="95"/>
      <c r="O1" s="95"/>
      <c r="P1" s="95"/>
      <c r="Q1" s="93"/>
      <c r="R1" s="5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15" customHeight="1" x14ac:dyDescent="0.25">
      <c r="A2" s="90"/>
      <c r="B2" s="64"/>
      <c r="C2" s="90">
        <f t="shared" si="0"/>
        <v>0</v>
      </c>
      <c r="D2" s="90" t="str">
        <f t="shared" si="1"/>
        <v>0</v>
      </c>
      <c r="E2" s="89"/>
      <c r="F2" s="64"/>
      <c r="G2" s="64"/>
      <c r="H2" s="90" t="s">
        <v>1</v>
      </c>
      <c r="I2" s="90">
        <v>0</v>
      </c>
      <c r="J2" s="64"/>
      <c r="K2" s="95"/>
      <c r="L2" s="95"/>
      <c r="M2" s="95"/>
      <c r="N2" s="95"/>
      <c r="O2" s="95"/>
      <c r="P2" s="95"/>
      <c r="Q2" s="93"/>
      <c r="R2" s="52"/>
      <c r="S2" s="49"/>
      <c r="T2" s="49"/>
      <c r="U2" s="49"/>
      <c r="V2" s="49"/>
      <c r="W2" s="49"/>
      <c r="X2" s="49"/>
      <c r="Y2" s="1"/>
      <c r="Z2" s="1"/>
      <c r="AA2" s="1"/>
      <c r="AB2" s="1"/>
      <c r="AC2" s="1"/>
      <c r="AD2" s="1"/>
    </row>
    <row r="3" spans="1:30" ht="15" customHeight="1" x14ac:dyDescent="0.25">
      <c r="A3" s="90" t="s">
        <v>24</v>
      </c>
      <c r="B3" s="64"/>
      <c r="C3" s="90">
        <f t="shared" si="0"/>
        <v>18</v>
      </c>
      <c r="D3" s="90" t="str">
        <f t="shared" si="1"/>
        <v>12</v>
      </c>
      <c r="E3" s="89"/>
      <c r="F3" s="64"/>
      <c r="G3" s="64"/>
      <c r="H3" s="90" t="s">
        <v>2</v>
      </c>
      <c r="I3" s="90">
        <v>1</v>
      </c>
      <c r="J3" s="64"/>
      <c r="K3" s="95"/>
      <c r="L3" s="95"/>
      <c r="M3" s="95"/>
      <c r="N3" s="95"/>
      <c r="O3" s="95"/>
      <c r="P3" s="95"/>
      <c r="Q3" s="93"/>
      <c r="R3" s="52"/>
      <c r="S3" s="49"/>
      <c r="T3" s="49"/>
      <c r="U3" s="49"/>
      <c r="V3" s="49"/>
      <c r="W3" s="49"/>
      <c r="X3" s="49"/>
      <c r="Y3" s="1"/>
      <c r="Z3" s="1"/>
      <c r="AA3" s="1"/>
      <c r="AB3" s="1"/>
      <c r="AC3" s="1"/>
      <c r="AD3" s="1"/>
    </row>
    <row r="4" spans="1:30" ht="15" customHeight="1" x14ac:dyDescent="0.25">
      <c r="A4" s="90" t="s">
        <v>25</v>
      </c>
      <c r="B4" s="64"/>
      <c r="C4" s="90">
        <f t="shared" si="0"/>
        <v>146</v>
      </c>
      <c r="D4" s="90" t="str">
        <f t="shared" si="1"/>
        <v>92</v>
      </c>
      <c r="E4" s="89"/>
      <c r="F4" s="64"/>
      <c r="G4" s="64"/>
      <c r="H4" s="90" t="s">
        <v>3</v>
      </c>
      <c r="I4" s="90">
        <v>1</v>
      </c>
      <c r="J4" s="64"/>
      <c r="K4" s="95"/>
      <c r="L4" s="95"/>
      <c r="M4" s="95"/>
      <c r="N4" s="95"/>
      <c r="O4" s="95"/>
      <c r="P4" s="95"/>
      <c r="Q4" s="93"/>
      <c r="R4" s="52"/>
      <c r="S4" s="49"/>
      <c r="T4" s="49"/>
      <c r="U4" s="49"/>
      <c r="V4" s="49"/>
      <c r="W4" s="49"/>
      <c r="X4" s="49"/>
      <c r="Y4" s="1"/>
      <c r="Z4" s="1"/>
      <c r="AA4" s="1"/>
      <c r="AB4" s="1"/>
      <c r="AC4" s="1"/>
      <c r="AD4" s="1"/>
    </row>
    <row r="5" spans="1:30" x14ac:dyDescent="0.25">
      <c r="A5" s="90"/>
      <c r="B5" s="64"/>
      <c r="C5" s="90">
        <f t="shared" si="0"/>
        <v>0</v>
      </c>
      <c r="D5" s="90" t="str">
        <f t="shared" si="1"/>
        <v>0</v>
      </c>
      <c r="E5" s="89"/>
      <c r="F5" s="64"/>
      <c r="G5" s="64"/>
      <c r="H5" s="90" t="s">
        <v>4</v>
      </c>
      <c r="I5" s="90">
        <v>1</v>
      </c>
      <c r="J5" s="64"/>
      <c r="K5" s="51"/>
      <c r="L5" s="51"/>
      <c r="M5" s="51"/>
      <c r="N5" s="51"/>
      <c r="O5" s="51"/>
      <c r="P5" s="51"/>
      <c r="Q5" s="51"/>
      <c r="R5" s="5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ht="26.25" x14ac:dyDescent="0.4">
      <c r="A6" s="90" t="s">
        <v>26</v>
      </c>
      <c r="B6" s="64"/>
      <c r="C6" s="90">
        <f t="shared" si="0"/>
        <v>19</v>
      </c>
      <c r="D6" s="90" t="str">
        <f t="shared" si="1"/>
        <v>13</v>
      </c>
      <c r="E6" s="89"/>
      <c r="F6" s="64"/>
      <c r="G6" s="64"/>
      <c r="H6" s="90" t="s">
        <v>21</v>
      </c>
      <c r="I6" s="90">
        <v>0</v>
      </c>
      <c r="J6" s="64"/>
      <c r="K6" s="94" t="s">
        <v>18</v>
      </c>
      <c r="L6" s="94"/>
      <c r="M6" s="94"/>
      <c r="N6" s="94"/>
      <c r="O6" s="94"/>
      <c r="P6" s="51"/>
      <c r="Q6" s="51"/>
      <c r="R6" s="5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ht="21" x14ac:dyDescent="0.25">
      <c r="A7" s="90" t="s">
        <v>27</v>
      </c>
      <c r="B7" s="64"/>
      <c r="C7" s="90">
        <f t="shared" si="0"/>
        <v>162</v>
      </c>
      <c r="D7" s="90" t="str">
        <f t="shared" si="1"/>
        <v>A2</v>
      </c>
      <c r="E7" s="89"/>
      <c r="F7" s="64"/>
      <c r="G7" s="64"/>
      <c r="H7" s="90" t="s">
        <v>22</v>
      </c>
      <c r="I7" s="90">
        <v>1</v>
      </c>
      <c r="J7" s="64"/>
      <c r="K7" s="53" t="s">
        <v>16</v>
      </c>
      <c r="L7" s="54" t="s">
        <v>7</v>
      </c>
      <c r="M7" s="55" t="s">
        <v>17</v>
      </c>
      <c r="N7" s="56" t="s">
        <v>8</v>
      </c>
      <c r="O7" s="57" t="s">
        <v>6</v>
      </c>
      <c r="P7" s="58" t="s">
        <v>36</v>
      </c>
      <c r="Q7" s="51"/>
      <c r="R7" s="5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25">
      <c r="A8" s="90"/>
      <c r="B8" s="64"/>
      <c r="C8" s="90">
        <f t="shared" si="0"/>
        <v>0</v>
      </c>
      <c r="D8" s="90" t="str">
        <f t="shared" si="1"/>
        <v>0</v>
      </c>
      <c r="E8" s="89"/>
      <c r="F8" s="64"/>
      <c r="G8" s="64"/>
      <c r="H8" s="64"/>
      <c r="I8" s="64"/>
      <c r="J8" s="64"/>
      <c r="K8" s="76"/>
      <c r="L8" s="71"/>
      <c r="M8" s="71"/>
      <c r="N8" s="71"/>
      <c r="O8" s="66"/>
      <c r="P8" s="67"/>
      <c r="Q8" s="51"/>
      <c r="R8" s="5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25">
      <c r="A9" s="90" t="s">
        <v>28</v>
      </c>
      <c r="B9" s="64"/>
      <c r="C9" s="90">
        <f t="shared" si="0"/>
        <v>65</v>
      </c>
      <c r="D9" s="90" t="str">
        <f t="shared" si="1"/>
        <v>41</v>
      </c>
      <c r="E9" s="89"/>
      <c r="F9" s="64"/>
      <c r="G9" s="64"/>
      <c r="H9" s="64"/>
      <c r="I9" s="64"/>
      <c r="J9" s="65"/>
      <c r="K9" s="77"/>
      <c r="L9" s="74"/>
      <c r="M9" s="74"/>
      <c r="N9" s="72"/>
      <c r="O9" s="59"/>
      <c r="P9" s="68"/>
      <c r="Q9" s="51"/>
      <c r="R9" s="5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x14ac:dyDescent="0.25">
      <c r="A10" s="90" t="s">
        <v>29</v>
      </c>
      <c r="B10" s="64"/>
      <c r="C10" s="90">
        <f t="shared" si="0"/>
        <v>99</v>
      </c>
      <c r="D10" s="90" t="str">
        <f t="shared" si="1"/>
        <v>63</v>
      </c>
      <c r="E10" s="89"/>
      <c r="F10" s="64"/>
      <c r="G10" s="64"/>
      <c r="H10" s="64"/>
      <c r="I10" s="64"/>
      <c r="J10" s="65"/>
      <c r="K10" s="78"/>
      <c r="L10" s="75"/>
      <c r="M10" s="75"/>
      <c r="N10" s="73"/>
      <c r="O10" s="69"/>
      <c r="P10" s="70"/>
      <c r="Q10" s="51"/>
      <c r="R10" s="5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x14ac:dyDescent="0.25">
      <c r="A11" s="90" t="s">
        <v>30</v>
      </c>
      <c r="B11" s="64"/>
      <c r="C11" s="90">
        <f t="shared" si="0"/>
        <v>62</v>
      </c>
      <c r="D11" s="90" t="str">
        <f t="shared" si="1"/>
        <v>3E</v>
      </c>
      <c r="E11" s="89"/>
      <c r="F11" s="64"/>
      <c r="G11" s="64"/>
      <c r="H11" s="64"/>
      <c r="I11" s="64"/>
      <c r="J11" s="64"/>
      <c r="K11" s="60"/>
      <c r="L11" s="61"/>
      <c r="M11" s="61"/>
      <c r="N11" s="59"/>
      <c r="O11" s="51"/>
      <c r="P11" s="51"/>
      <c r="Q11" s="51"/>
      <c r="R11" s="5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x14ac:dyDescent="0.25">
      <c r="A12" s="90" t="s">
        <v>34</v>
      </c>
      <c r="B12" s="64"/>
      <c r="C12" s="90">
        <f t="shared" si="0"/>
        <v>60</v>
      </c>
      <c r="D12" s="90" t="str">
        <f t="shared" si="1"/>
        <v>3C</v>
      </c>
      <c r="E12" s="89"/>
      <c r="F12" s="64"/>
      <c r="G12" s="64"/>
      <c r="H12" s="64"/>
      <c r="I12" s="64"/>
      <c r="J12" s="64"/>
      <c r="K12" s="51"/>
      <c r="L12" s="80"/>
      <c r="M12" s="86"/>
      <c r="N12" s="81"/>
      <c r="O12" s="51"/>
      <c r="P12" s="51"/>
      <c r="Q12" s="51"/>
      <c r="R12" s="5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x14ac:dyDescent="0.25">
      <c r="A13" s="90" t="s">
        <v>27</v>
      </c>
      <c r="B13" s="64"/>
      <c r="C13" s="90">
        <f t="shared" si="0"/>
        <v>162</v>
      </c>
      <c r="D13" s="90" t="str">
        <f t="shared" si="1"/>
        <v>A2</v>
      </c>
      <c r="E13" s="89"/>
      <c r="F13" s="64"/>
      <c r="G13" s="64"/>
      <c r="H13" s="64"/>
      <c r="I13" s="64"/>
      <c r="J13" s="64"/>
      <c r="K13" s="59"/>
      <c r="L13" s="82"/>
      <c r="M13" s="87"/>
      <c r="N13" s="84"/>
      <c r="O13" s="59"/>
      <c r="P13" s="51"/>
      <c r="Q13" s="51"/>
      <c r="R13" s="5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x14ac:dyDescent="0.25">
      <c r="A14" s="90" t="s">
        <v>35</v>
      </c>
      <c r="B14" s="64"/>
      <c r="C14" s="90">
        <f t="shared" si="0"/>
        <v>149</v>
      </c>
      <c r="D14" s="90" t="str">
        <f t="shared" si="1"/>
        <v>95</v>
      </c>
      <c r="E14" s="89"/>
      <c r="F14" s="64"/>
      <c r="G14" s="64"/>
      <c r="H14" s="64"/>
      <c r="I14" s="64"/>
      <c r="J14" s="64"/>
      <c r="K14" s="59"/>
      <c r="L14" s="83"/>
      <c r="M14" s="88"/>
      <c r="N14" s="85"/>
      <c r="O14" s="51"/>
      <c r="P14" s="51"/>
      <c r="Q14" s="51"/>
      <c r="R14" s="5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0" x14ac:dyDescent="0.25">
      <c r="A15" s="90" t="s">
        <v>31</v>
      </c>
      <c r="B15" s="64"/>
      <c r="C15" s="90">
        <f t="shared" si="0"/>
        <v>1</v>
      </c>
      <c r="D15" s="90" t="str">
        <f t="shared" si="1"/>
        <v>1</v>
      </c>
      <c r="E15" s="89"/>
      <c r="F15" s="64"/>
      <c r="G15" s="64"/>
      <c r="H15" s="64"/>
      <c r="I15" s="64"/>
      <c r="J15" s="64"/>
      <c r="K15" s="51"/>
      <c r="L15" s="62"/>
      <c r="M15" s="63"/>
      <c r="N15" s="63"/>
      <c r="O15" s="51"/>
      <c r="P15" s="51"/>
      <c r="Q15" s="51"/>
      <c r="R15" s="5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0" x14ac:dyDescent="0.25">
      <c r="A16" s="90" t="s">
        <v>31</v>
      </c>
      <c r="B16" s="64"/>
      <c r="C16" s="90">
        <f t="shared" si="0"/>
        <v>1</v>
      </c>
      <c r="D16" s="90" t="str">
        <f t="shared" si="1"/>
        <v>1</v>
      </c>
      <c r="E16" s="91"/>
      <c r="F16" s="90" t="s">
        <v>23</v>
      </c>
      <c r="G16" s="90">
        <v>11101</v>
      </c>
      <c r="H16" s="90">
        <f>BIN2DEC(G16)</f>
        <v>29</v>
      </c>
      <c r="I16" s="64"/>
      <c r="J16" s="64"/>
      <c r="K16" s="51"/>
      <c r="M16" s="90" t="s">
        <v>5</v>
      </c>
      <c r="N16" s="90">
        <v>9</v>
      </c>
      <c r="O16" s="51"/>
      <c r="P16" s="51"/>
      <c r="Q16" s="51"/>
      <c r="R16" s="5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 x14ac:dyDescent="0.25">
      <c r="A17" s="90" t="s">
        <v>32</v>
      </c>
      <c r="B17" s="64"/>
      <c r="C17" s="90">
        <f t="shared" si="0"/>
        <v>24</v>
      </c>
      <c r="D17" s="90" t="str">
        <f t="shared" si="1"/>
        <v>18</v>
      </c>
      <c r="E17" s="89"/>
      <c r="F17" s="64"/>
      <c r="G17" s="64"/>
      <c r="H17" s="64"/>
      <c r="I17" s="64"/>
      <c r="J17" s="64"/>
      <c r="K17" s="51"/>
      <c r="L17" s="51"/>
      <c r="M17" s="51"/>
      <c r="N17" s="51"/>
      <c r="O17" s="51"/>
      <c r="P17" s="51"/>
      <c r="Q17" s="51"/>
      <c r="R17" s="5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 x14ac:dyDescent="0.25">
      <c r="A18" s="90" t="s">
        <v>33</v>
      </c>
      <c r="B18" s="64"/>
      <c r="C18" s="90">
        <f t="shared" si="0"/>
        <v>30</v>
      </c>
      <c r="D18" s="90" t="str">
        <f t="shared" si="1"/>
        <v>1E</v>
      </c>
      <c r="E18" s="89"/>
      <c r="F18" s="64"/>
      <c r="G18" s="64"/>
      <c r="H18" s="64"/>
      <c r="I18" s="64"/>
      <c r="J18" s="64"/>
      <c r="K18" s="51"/>
      <c r="L18" s="51"/>
      <c r="M18" s="51"/>
      <c r="N18" s="51"/>
      <c r="O18" s="51"/>
      <c r="P18" s="51"/>
      <c r="Q18" s="51"/>
      <c r="R18" s="5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30" x14ac:dyDescent="0.25">
      <c r="A19" s="90"/>
      <c r="B19" s="64"/>
      <c r="C19" s="90">
        <f t="shared" si="0"/>
        <v>0</v>
      </c>
      <c r="D19" s="90" t="str">
        <f t="shared" si="1"/>
        <v>0</v>
      </c>
      <c r="E19" s="79"/>
      <c r="F19" s="64"/>
      <c r="G19" s="64"/>
      <c r="H19" s="64"/>
      <c r="I19" s="64"/>
      <c r="J19" s="64"/>
      <c r="K19" s="51"/>
      <c r="L19" s="51"/>
      <c r="M19" s="51"/>
      <c r="N19" s="51"/>
      <c r="O19" s="51"/>
      <c r="P19" s="51"/>
      <c r="Q19" s="51"/>
      <c r="R19" s="5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</row>
    <row r="20" spans="1:30" x14ac:dyDescent="0.25">
      <c r="A20" s="90" t="s">
        <v>38</v>
      </c>
      <c r="B20" s="64"/>
      <c r="C20" s="90">
        <f t="shared" si="0"/>
        <v>16</v>
      </c>
      <c r="D20" s="90" t="str">
        <f t="shared" si="1"/>
        <v>10</v>
      </c>
      <c r="E20" s="90" t="str">
        <f>HEX2BIN(D20)</f>
        <v>10000</v>
      </c>
      <c r="F20" s="64"/>
      <c r="G20" s="64"/>
      <c r="H20" s="64">
        <v>0</v>
      </c>
      <c r="I20" s="64"/>
      <c r="J20" s="64"/>
      <c r="K20" s="51"/>
      <c r="L20" s="51"/>
      <c r="M20" s="51"/>
      <c r="N20" s="51"/>
      <c r="O20" s="51"/>
      <c r="P20" s="51"/>
      <c r="Q20" s="51"/>
      <c r="R20" s="5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</row>
    <row r="21" spans="1:30" x14ac:dyDescent="0.25">
      <c r="A21" s="90" t="s">
        <v>39</v>
      </c>
      <c r="B21" s="64"/>
      <c r="C21" s="90">
        <f t="shared" si="0"/>
        <v>28</v>
      </c>
      <c r="D21" s="90" t="str">
        <f t="shared" si="1"/>
        <v>1C</v>
      </c>
      <c r="E21" s="90" t="str">
        <f>HEX2BIN(D21)</f>
        <v>11100</v>
      </c>
      <c r="F21" s="64"/>
      <c r="G21" s="64"/>
      <c r="H21" s="64"/>
      <c r="I21" s="64"/>
      <c r="J21" s="64"/>
      <c r="K21" s="51"/>
      <c r="L21" s="51"/>
      <c r="M21" s="51"/>
      <c r="N21" s="51"/>
      <c r="O21" s="51"/>
      <c r="P21" s="51"/>
      <c r="Q21" s="51"/>
      <c r="R21" s="5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  <row r="22" spans="1:30" x14ac:dyDescent="0.25">
      <c r="A22" s="90" t="s">
        <v>40</v>
      </c>
      <c r="B22" s="64"/>
      <c r="C22" s="90">
        <f t="shared" si="0"/>
        <v>255</v>
      </c>
      <c r="D22" s="90" t="str">
        <f t="shared" si="1"/>
        <v>FF</v>
      </c>
      <c r="E22" s="92"/>
      <c r="F22" s="64"/>
      <c r="G22" s="64"/>
      <c r="H22" s="64"/>
      <c r="I22" s="64"/>
      <c r="J22" s="64"/>
      <c r="K22" s="51"/>
      <c r="L22" s="51"/>
      <c r="M22" s="51"/>
      <c r="N22" s="51"/>
      <c r="O22" s="51"/>
      <c r="P22" s="51"/>
      <c r="Q22" s="51"/>
      <c r="R22" s="5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</row>
    <row r="23" spans="1:30" x14ac:dyDescent="0.25">
      <c r="A23" s="64"/>
      <c r="B23" s="64"/>
      <c r="C23" s="64"/>
      <c r="D23" s="64"/>
      <c r="E23" s="64"/>
      <c r="F23" s="64"/>
      <c r="G23" s="64"/>
      <c r="H23" s="64"/>
      <c r="I23" s="64"/>
      <c r="J23" s="64"/>
      <c r="K23" s="51"/>
      <c r="L23" s="51"/>
      <c r="M23" s="51"/>
      <c r="N23" s="51"/>
      <c r="O23" s="51"/>
      <c r="P23" s="51"/>
      <c r="Q23" s="51"/>
      <c r="R23" s="5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</row>
    <row r="24" spans="1:30" x14ac:dyDescent="0.25">
      <c r="A24" s="64"/>
      <c r="B24" s="50" t="s">
        <v>9</v>
      </c>
      <c r="C24" s="50">
        <f>COUNT(Sheet2!F:F)+1</f>
        <v>63</v>
      </c>
      <c r="D24" s="64"/>
      <c r="E24" s="64"/>
      <c r="F24" s="90" t="s">
        <v>37</v>
      </c>
      <c r="G24" s="90">
        <v>13</v>
      </c>
      <c r="H24" s="64"/>
      <c r="I24" s="64"/>
      <c r="J24" s="64"/>
      <c r="K24" s="51"/>
      <c r="L24" s="51"/>
      <c r="M24" s="51"/>
      <c r="N24" s="51"/>
      <c r="O24" s="51"/>
      <c r="P24" s="51"/>
      <c r="Q24" s="51"/>
      <c r="R24" s="5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1:30" x14ac:dyDescent="0.25">
      <c r="A25" s="64"/>
      <c r="B25" s="64"/>
      <c r="C25" s="64"/>
      <c r="D25" s="64"/>
      <c r="E25" s="64"/>
      <c r="F25" s="64"/>
      <c r="G25" s="64"/>
      <c r="H25" s="64"/>
      <c r="I25" s="64"/>
      <c r="J25" s="64"/>
      <c r="K25" s="51"/>
      <c r="L25" s="51"/>
      <c r="M25" s="51"/>
      <c r="N25" s="51"/>
      <c r="O25" s="51"/>
      <c r="P25" s="51"/>
      <c r="Q25" s="51"/>
      <c r="R25" s="5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</row>
    <row r="26" spans="1:30" s="42" customFormat="1" hidden="1" x14ac:dyDescent="0.25"/>
    <row r="27" spans="1:30" s="1" customFormat="1" hidden="1" x14ac:dyDescent="0.25"/>
    <row r="28" spans="1:30" s="1" customFormat="1" hidden="1" x14ac:dyDescent="0.25"/>
    <row r="29" spans="1:30" s="1" customFormat="1" hidden="1" x14ac:dyDescent="0.25"/>
    <row r="30" spans="1:30" s="1" customFormat="1" hidden="1" x14ac:dyDescent="0.25"/>
    <row r="31" spans="1:30" s="1" customFormat="1" hidden="1" x14ac:dyDescent="0.25"/>
    <row r="32" spans="1:30" s="1" customFormat="1" hidden="1" x14ac:dyDescent="0.25"/>
    <row r="33" s="1" customFormat="1" hidden="1" x14ac:dyDescent="0.25"/>
    <row r="34" s="1" customFormat="1" hidden="1" x14ac:dyDescent="0.25"/>
    <row r="35" s="1" customFormat="1" hidden="1" x14ac:dyDescent="0.25"/>
    <row r="36" s="1" customFormat="1" hidden="1" x14ac:dyDescent="0.25"/>
    <row r="37" s="1" customFormat="1" hidden="1" x14ac:dyDescent="0.25"/>
    <row r="38" s="1" customFormat="1" hidden="1" x14ac:dyDescent="0.25"/>
    <row r="39" s="1" customFormat="1" hidden="1" x14ac:dyDescent="0.25"/>
    <row r="40" s="1" customFormat="1" hidden="1" x14ac:dyDescent="0.25"/>
    <row r="41" s="1" customFormat="1" hidden="1" x14ac:dyDescent="0.25"/>
    <row r="42" s="1" customFormat="1" hidden="1" x14ac:dyDescent="0.25"/>
    <row r="43" s="1" customFormat="1" hidden="1" x14ac:dyDescent="0.25"/>
    <row r="44" s="1" customFormat="1" hidden="1" x14ac:dyDescent="0.25"/>
    <row r="45" s="1" customFormat="1" hidden="1" x14ac:dyDescent="0.25"/>
    <row r="46" s="1" customFormat="1" hidden="1" x14ac:dyDescent="0.25"/>
    <row r="47" s="1" customFormat="1" hidden="1" x14ac:dyDescent="0.25"/>
    <row r="48" s="1" customFormat="1" hidden="1" x14ac:dyDescent="0.25"/>
    <row r="49" s="1" customFormat="1" hidden="1" x14ac:dyDescent="0.25"/>
    <row r="50" s="1" customFormat="1" hidden="1" x14ac:dyDescent="0.25"/>
  </sheetData>
  <mergeCells count="2">
    <mergeCell ref="K6:O6"/>
    <mergeCell ref="K1:P4"/>
  </mergeCells>
  <conditionalFormatting sqref="K8:K10">
    <cfRule type="expression" dxfId="5" priority="6">
      <formula>$I$5=1</formula>
    </cfRule>
  </conditionalFormatting>
  <conditionalFormatting sqref="L8:L10">
    <cfRule type="expression" dxfId="4" priority="5">
      <formula>$I$3=1</formula>
    </cfRule>
  </conditionalFormatting>
  <conditionalFormatting sqref="M8:M10">
    <cfRule type="expression" dxfId="3" priority="4">
      <formula>$I$6=1</formula>
    </cfRule>
  </conditionalFormatting>
  <conditionalFormatting sqref="N8:N10">
    <cfRule type="expression" dxfId="2" priority="3">
      <formula>$I$4=1</formula>
    </cfRule>
  </conditionalFormatting>
  <conditionalFormatting sqref="O8:O10">
    <cfRule type="expression" dxfId="1" priority="2">
      <formula>$I$2=1</formula>
    </cfRule>
  </conditionalFormatting>
  <conditionalFormatting sqref="P8:P10">
    <cfRule type="expression" dxfId="0" priority="1">
      <formula>$I$7=1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24">
          <controlPr defaultSize="0" autoLine="0" r:id="rId5">
            <anchor moveWithCells="1" sizeWithCells="1">
              <from>
                <xdr:col>11</xdr:col>
                <xdr:colOff>66675</xdr:colOff>
                <xdr:row>11</xdr:row>
                <xdr:rowOff>76200</xdr:rowOff>
              </from>
              <to>
                <xdr:col>11</xdr:col>
                <xdr:colOff>1000125</xdr:colOff>
                <xdr:row>13</xdr:row>
                <xdr:rowOff>104775</xdr:rowOff>
              </to>
            </anchor>
          </controlPr>
        </control>
      </mc:Choice>
      <mc:Fallback>
        <control shapeId="1026" r:id="rId4" name="CommandButton24"/>
      </mc:Fallback>
    </mc:AlternateContent>
    <mc:AlternateContent xmlns:mc="http://schemas.openxmlformats.org/markup-compatibility/2006">
      <mc:Choice Requires="x14">
        <control shapeId="1027" r:id="rId6" name="CommandButton25">
          <controlPr defaultSize="0" autoLine="0" r:id="rId7">
            <anchor moveWithCells="1" sizeWithCells="1">
              <from>
                <xdr:col>12</xdr:col>
                <xdr:colOff>104775</xdr:colOff>
                <xdr:row>11</xdr:row>
                <xdr:rowOff>85725</xdr:rowOff>
              </from>
              <to>
                <xdr:col>12</xdr:col>
                <xdr:colOff>942975</xdr:colOff>
                <xdr:row>13</xdr:row>
                <xdr:rowOff>133350</xdr:rowOff>
              </to>
            </anchor>
          </controlPr>
        </control>
      </mc:Choice>
      <mc:Fallback>
        <control shapeId="1027" r:id="rId6" name="CommandButton25"/>
      </mc:Fallback>
    </mc:AlternateContent>
    <mc:AlternateContent xmlns:mc="http://schemas.openxmlformats.org/markup-compatibility/2006">
      <mc:Choice Requires="x14">
        <control shapeId="1028" r:id="rId8" name="CommandButton26">
          <controlPr defaultSize="0" autoLine="0" r:id="rId9">
            <anchor moveWithCells="1" sizeWithCells="1">
              <from>
                <xdr:col>13</xdr:col>
                <xdr:colOff>47625</xdr:colOff>
                <xdr:row>11</xdr:row>
                <xdr:rowOff>95250</xdr:rowOff>
              </from>
              <to>
                <xdr:col>13</xdr:col>
                <xdr:colOff>962025</xdr:colOff>
                <xdr:row>13</xdr:row>
                <xdr:rowOff>104775</xdr:rowOff>
              </to>
            </anchor>
          </controlPr>
        </control>
      </mc:Choice>
      <mc:Fallback>
        <control shapeId="1028" r:id="rId8" name="CommandButton2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69"/>
  <sheetViews>
    <sheetView topLeftCell="A22" workbookViewId="0">
      <selection activeCell="J50" sqref="J50"/>
    </sheetView>
  </sheetViews>
  <sheetFormatPr defaultRowHeight="15" x14ac:dyDescent="0.25"/>
  <cols>
    <col min="1" max="1" width="15.85546875" style="1" bestFit="1" customWidth="1"/>
    <col min="2" max="2" width="11.42578125" style="6" customWidth="1"/>
    <col min="3" max="3" width="13.5703125" style="6" customWidth="1"/>
    <col min="4" max="4" width="15.85546875" style="1" bestFit="1" customWidth="1"/>
    <col min="5" max="5" width="2" style="1" hidden="1" customWidth="1"/>
    <col min="6" max="6" width="20.7109375" style="6" bestFit="1" customWidth="1"/>
    <col min="7" max="7" width="4" style="21" bestFit="1" customWidth="1"/>
    <col min="8" max="8" width="9.140625" style="1"/>
    <col min="9" max="9" width="22.7109375" style="1" bestFit="1" customWidth="1"/>
    <col min="10" max="10" width="15.42578125" style="1" bestFit="1" customWidth="1"/>
    <col min="11" max="11" width="18.7109375" style="1" customWidth="1"/>
    <col min="12" max="12" width="21.85546875" style="1" customWidth="1"/>
    <col min="13" max="13" width="12" style="1" customWidth="1"/>
    <col min="14" max="16384" width="9.140625" style="1"/>
  </cols>
  <sheetData>
    <row r="1" spans="1:14" ht="24" customHeight="1" x14ac:dyDescent="0.25">
      <c r="A1" s="23" t="s">
        <v>11</v>
      </c>
      <c r="B1" s="24" t="s">
        <v>12</v>
      </c>
      <c r="C1" s="24" t="s">
        <v>13</v>
      </c>
      <c r="D1" s="25" t="s">
        <v>14</v>
      </c>
      <c r="E1" s="23"/>
      <c r="F1" s="26" t="s">
        <v>15</v>
      </c>
      <c r="I1" s="2" t="s">
        <v>16</v>
      </c>
      <c r="J1" s="2" t="s">
        <v>7</v>
      </c>
      <c r="K1" s="2" t="s">
        <v>20</v>
      </c>
      <c r="L1" s="9" t="s">
        <v>8</v>
      </c>
      <c r="M1" s="2" t="s">
        <v>6</v>
      </c>
    </row>
    <row r="2" spans="1:14" x14ac:dyDescent="0.25">
      <c r="A2" s="2" t="s">
        <v>10</v>
      </c>
      <c r="B2" s="4">
        <v>42751.62871527778</v>
      </c>
      <c r="C2" s="4">
        <v>42751.628877314812</v>
      </c>
      <c r="D2" s="9" t="s">
        <v>16</v>
      </c>
      <c r="E2" s="2">
        <v>1</v>
      </c>
      <c r="F2" s="10">
        <v>1.5046296296296297E-4</v>
      </c>
      <c r="G2" s="21">
        <v>13</v>
      </c>
      <c r="I2" s="2">
        <f>-SUMIF(D:D, "=Production",G:G)</f>
        <v>-1286</v>
      </c>
      <c r="J2" s="12">
        <f>-SUMIF(D:D, "=Quality",G:G)</f>
        <v>-308</v>
      </c>
      <c r="K2" s="12">
        <f>-SUMIF(D:D, "=Changeover",G:G)</f>
        <v>-108</v>
      </c>
      <c r="L2" s="12">
        <f>-SUMIF(D:D, "=PC&amp;L",G:G)</f>
        <v>-2565</v>
      </c>
      <c r="M2" s="12">
        <f>-SUMIF(D:D, "=Maintenance",G:G)</f>
        <v>-400</v>
      </c>
    </row>
    <row r="3" spans="1:14" x14ac:dyDescent="0.25">
      <c r="A3" s="8" t="s">
        <v>10</v>
      </c>
      <c r="B3" s="11">
        <v>42751.638182870367</v>
      </c>
      <c r="C3" s="11">
        <v>42751.638356481482</v>
      </c>
      <c r="D3" s="2" t="s">
        <v>16</v>
      </c>
      <c r="E3" s="2">
        <v>1</v>
      </c>
      <c r="F3" s="10">
        <v>1.6203703703703703E-4</v>
      </c>
      <c r="G3" s="21">
        <v>14</v>
      </c>
    </row>
    <row r="4" spans="1:14" x14ac:dyDescent="0.25">
      <c r="A4" s="3" t="s">
        <v>10</v>
      </c>
      <c r="B4" s="4">
        <v>42751.640057870369</v>
      </c>
      <c r="C4" s="4">
        <v>42751.640115740738</v>
      </c>
      <c r="D4" s="12" t="s">
        <v>16</v>
      </c>
      <c r="E4" s="13"/>
      <c r="F4" s="16">
        <v>4.6296296296296294E-5</v>
      </c>
      <c r="G4" s="21">
        <v>4</v>
      </c>
    </row>
    <row r="5" spans="1:14" x14ac:dyDescent="0.25">
      <c r="A5" s="3" t="s">
        <v>10</v>
      </c>
      <c r="B5" s="4">
        <v>42751.641018518516</v>
      </c>
      <c r="C5" s="10">
        <v>42751.641423611109</v>
      </c>
      <c r="D5" s="9" t="s">
        <v>16</v>
      </c>
      <c r="E5" s="2">
        <v>1</v>
      </c>
      <c r="F5" s="10">
        <v>3.9351851851851852E-4</v>
      </c>
      <c r="G5" s="21">
        <v>34</v>
      </c>
    </row>
    <row r="6" spans="1:14" x14ac:dyDescent="0.25">
      <c r="A6" s="3" t="s">
        <v>10</v>
      </c>
      <c r="B6" s="4">
        <v>42751.657418981478</v>
      </c>
      <c r="C6" s="10">
        <v>42751.657534722224</v>
      </c>
      <c r="D6" s="2" t="s">
        <v>16</v>
      </c>
      <c r="E6" s="2">
        <v>1</v>
      </c>
      <c r="F6" s="10">
        <v>1.0416666666666667E-4</v>
      </c>
      <c r="G6" s="21">
        <v>9</v>
      </c>
    </row>
    <row r="7" spans="1:14" x14ac:dyDescent="0.25">
      <c r="A7" s="3" t="s">
        <v>10</v>
      </c>
      <c r="B7" s="4">
        <v>42751.657638888886</v>
      </c>
      <c r="C7" s="10">
        <v>42751.657754629632</v>
      </c>
      <c r="D7" s="9" t="s">
        <v>8</v>
      </c>
      <c r="E7" s="2">
        <v>1</v>
      </c>
      <c r="F7" s="10">
        <v>1.0416666666666667E-4</v>
      </c>
      <c r="G7" s="21">
        <v>9</v>
      </c>
    </row>
    <row r="8" spans="1:14" x14ac:dyDescent="0.25">
      <c r="A8" s="3" t="s">
        <v>10</v>
      </c>
      <c r="B8" s="4">
        <v>42751.657812500001</v>
      </c>
      <c r="C8" s="10">
        <v>42751.657870370371</v>
      </c>
      <c r="D8" s="9" t="s">
        <v>7</v>
      </c>
      <c r="E8" s="2"/>
      <c r="F8" s="10">
        <v>4.6296296296296294E-5</v>
      </c>
      <c r="G8" s="21">
        <v>4</v>
      </c>
      <c r="N8" s="1">
        <v>1</v>
      </c>
    </row>
    <row r="9" spans="1:14" x14ac:dyDescent="0.25">
      <c r="A9" s="14" t="s">
        <v>10</v>
      </c>
      <c r="B9" s="15">
        <v>42751.659571759257</v>
      </c>
      <c r="C9" s="16">
        <v>42751.659895833334</v>
      </c>
      <c r="D9" s="12" t="s">
        <v>16</v>
      </c>
      <c r="E9" s="12">
        <v>1</v>
      </c>
      <c r="F9" s="16">
        <v>3.1250000000000001E-4</v>
      </c>
      <c r="G9" s="21">
        <v>27</v>
      </c>
    </row>
    <row r="10" spans="1:14" x14ac:dyDescent="0.25">
      <c r="A10" s="7" t="s">
        <v>10</v>
      </c>
      <c r="B10" s="5">
        <v>42751.659629629627</v>
      </c>
      <c r="C10" s="5">
        <v>42751.659895833334</v>
      </c>
      <c r="D10" s="7" t="s">
        <v>8</v>
      </c>
      <c r="E10" s="7">
        <v>1</v>
      </c>
      <c r="F10" s="19">
        <v>2.5462962962962961E-4</v>
      </c>
      <c r="G10" s="21">
        <v>22</v>
      </c>
    </row>
    <row r="11" spans="1:14" x14ac:dyDescent="0.25">
      <c r="A11" s="2" t="s">
        <v>10</v>
      </c>
      <c r="B11" s="4">
        <v>42751.659687500003</v>
      </c>
      <c r="C11" s="4">
        <v>42751.659895833334</v>
      </c>
      <c r="D11" s="2" t="s">
        <v>6</v>
      </c>
      <c r="E11" s="2">
        <v>1</v>
      </c>
      <c r="F11" s="10">
        <v>1.9675925925925926E-4</v>
      </c>
      <c r="G11" s="21">
        <v>17</v>
      </c>
    </row>
    <row r="12" spans="1:14" x14ac:dyDescent="0.25">
      <c r="A12" s="18" t="s">
        <v>10</v>
      </c>
      <c r="B12" s="11">
        <v>42751.659745370373</v>
      </c>
      <c r="C12" s="11">
        <v>42751.659895833334</v>
      </c>
      <c r="D12" s="18" t="s">
        <v>7</v>
      </c>
      <c r="E12" s="18">
        <v>1</v>
      </c>
      <c r="F12" s="20">
        <v>1.3888888888888889E-4</v>
      </c>
      <c r="G12" s="21">
        <v>12</v>
      </c>
    </row>
    <row r="13" spans="1:14" x14ac:dyDescent="0.25">
      <c r="A13" s="2" t="s">
        <v>10</v>
      </c>
      <c r="B13" s="4">
        <v>42751.660578703704</v>
      </c>
      <c r="C13" s="4">
        <v>42751.660636574074</v>
      </c>
      <c r="D13" s="2" t="s">
        <v>16</v>
      </c>
      <c r="E13" s="2"/>
      <c r="F13" s="10">
        <v>4.6296296296296294E-5</v>
      </c>
      <c r="G13" s="21">
        <v>4</v>
      </c>
    </row>
    <row r="14" spans="1:14" x14ac:dyDescent="0.25">
      <c r="A14" s="7" t="s">
        <v>10</v>
      </c>
      <c r="B14" s="5">
        <v>42751.6643287037</v>
      </c>
      <c r="C14" s="5">
        <v>42751.664386574077</v>
      </c>
      <c r="D14" s="7" t="s">
        <v>16</v>
      </c>
      <c r="E14" s="7"/>
      <c r="F14" s="19">
        <v>4.6296296296296294E-5</v>
      </c>
      <c r="G14" s="21">
        <v>4</v>
      </c>
    </row>
    <row r="15" spans="1:14" x14ac:dyDescent="0.25">
      <c r="A15" s="2" t="s">
        <v>10</v>
      </c>
      <c r="B15" s="4">
        <v>42751.66783564815</v>
      </c>
      <c r="C15" s="4"/>
      <c r="D15" s="2" t="s">
        <v>20</v>
      </c>
      <c r="E15" s="2">
        <v>1</v>
      </c>
      <c r="F15" s="10">
        <v>9.1435185185185185E-4</v>
      </c>
      <c r="G15" s="21">
        <v>79</v>
      </c>
    </row>
    <row r="16" spans="1:14" x14ac:dyDescent="0.25">
      <c r="A16" s="18" t="s">
        <v>10</v>
      </c>
      <c r="B16" s="11">
        <v>42751.673657407409</v>
      </c>
      <c r="C16" s="11">
        <v>42751.674004629633</v>
      </c>
      <c r="D16" s="18" t="s">
        <v>20</v>
      </c>
      <c r="E16" s="18">
        <v>1</v>
      </c>
      <c r="F16" s="20">
        <v>3.3564814814814812E-4</v>
      </c>
      <c r="G16" s="21">
        <v>29</v>
      </c>
    </row>
    <row r="17" spans="1:8" x14ac:dyDescent="0.25">
      <c r="A17" s="2" t="s">
        <v>10</v>
      </c>
      <c r="B17" s="4">
        <v>42751.674120370371</v>
      </c>
      <c r="C17" s="4">
        <v>42751.67423611111</v>
      </c>
      <c r="D17" s="2" t="s">
        <v>16</v>
      </c>
      <c r="E17" s="2">
        <v>1</v>
      </c>
      <c r="F17" s="10">
        <v>1.0416666666666667E-4</v>
      </c>
      <c r="G17" s="21">
        <v>9</v>
      </c>
    </row>
    <row r="18" spans="1:8" x14ac:dyDescent="0.25">
      <c r="A18" s="18" t="s">
        <v>10</v>
      </c>
      <c r="B18" s="11">
        <v>42760.424884259257</v>
      </c>
      <c r="C18" s="11"/>
      <c r="D18" s="18" t="s">
        <v>8</v>
      </c>
      <c r="E18" s="18">
        <v>1</v>
      </c>
      <c r="F18" s="20">
        <v>3.0092592592592595E-4</v>
      </c>
      <c r="G18" s="21">
        <v>26</v>
      </c>
    </row>
    <row r="19" spans="1:8" x14ac:dyDescent="0.25">
      <c r="A19" s="2" t="s">
        <v>10</v>
      </c>
      <c r="B19" s="4">
        <v>42761.423009259262</v>
      </c>
      <c r="C19" s="4">
        <v>42761.432129629633</v>
      </c>
      <c r="D19" s="2" t="s">
        <v>16</v>
      </c>
      <c r="E19" s="2">
        <v>1</v>
      </c>
      <c r="F19" s="10">
        <v>9.0393518518518522E-3</v>
      </c>
      <c r="G19" s="21">
        <v>781</v>
      </c>
    </row>
    <row r="20" spans="1:8" x14ac:dyDescent="0.25">
      <c r="A20" s="2" t="s">
        <v>10</v>
      </c>
      <c r="B20" s="4">
        <v>42761.435879629629</v>
      </c>
      <c r="C20" s="4">
        <v>42761.436469907407</v>
      </c>
      <c r="D20" s="2" t="s">
        <v>16</v>
      </c>
      <c r="E20" s="2">
        <v>1</v>
      </c>
      <c r="F20" s="10">
        <v>5.7870370370370378E-4</v>
      </c>
      <c r="G20" s="21">
        <v>50</v>
      </c>
    </row>
    <row r="21" spans="1:8" x14ac:dyDescent="0.25">
      <c r="A21" s="18" t="s">
        <v>10</v>
      </c>
      <c r="B21" s="11">
        <v>42761.436956018515</v>
      </c>
      <c r="C21" s="11"/>
      <c r="D21" s="18" t="s">
        <v>16</v>
      </c>
      <c r="E21" s="18">
        <v>1</v>
      </c>
      <c r="F21" s="20">
        <v>1.0416666666666667E-4</v>
      </c>
      <c r="G21" s="21">
        <v>9</v>
      </c>
    </row>
    <row r="22" spans="1:8" x14ac:dyDescent="0.25">
      <c r="A22" s="2" t="s">
        <v>10</v>
      </c>
      <c r="B22" s="4">
        <v>42769.407071759262</v>
      </c>
      <c r="C22" s="4">
        <v>42769.407534722224</v>
      </c>
      <c r="D22" s="2" t="s">
        <v>7</v>
      </c>
      <c r="E22" s="2">
        <v>1</v>
      </c>
      <c r="F22" s="10">
        <v>4.5138888888888892E-4</v>
      </c>
      <c r="G22" s="21">
        <v>39</v>
      </c>
    </row>
    <row r="23" spans="1:8" x14ac:dyDescent="0.25">
      <c r="A23" s="2" t="s">
        <v>10</v>
      </c>
      <c r="B23" s="4">
        <v>42769.407592592594</v>
      </c>
      <c r="C23" s="4"/>
      <c r="D23" s="2" t="s">
        <v>8</v>
      </c>
      <c r="E23" s="2">
        <v>1</v>
      </c>
      <c r="F23" s="10">
        <v>1.7361111111111112E-4</v>
      </c>
      <c r="G23" s="21">
        <v>15</v>
      </c>
      <c r="H23" s="28"/>
    </row>
    <row r="24" spans="1:8" x14ac:dyDescent="0.25">
      <c r="A24" s="13" t="s">
        <v>10</v>
      </c>
      <c r="B24" s="15">
        <v>42769.415833333333</v>
      </c>
      <c r="C24" s="15">
        <v>42769.41615740741</v>
      </c>
      <c r="D24" s="13" t="s">
        <v>7</v>
      </c>
      <c r="E24" s="13">
        <v>1</v>
      </c>
      <c r="F24" s="16">
        <v>2.6620370370370372E-4</v>
      </c>
      <c r="G24" s="22">
        <v>23</v>
      </c>
      <c r="H24" s="17"/>
    </row>
    <row r="25" spans="1:8" x14ac:dyDescent="0.25">
      <c r="A25" s="7" t="s">
        <v>10</v>
      </c>
      <c r="B25" s="33">
        <v>42769.41615740741</v>
      </c>
      <c r="C25" s="5">
        <v>42769.416273148148</v>
      </c>
      <c r="D25" s="7" t="s">
        <v>8</v>
      </c>
      <c r="E25" s="37"/>
      <c r="F25" s="19">
        <v>5.7870370370370366E-5</v>
      </c>
      <c r="G25" s="21">
        <v>5</v>
      </c>
    </row>
    <row r="26" spans="1:8" x14ac:dyDescent="0.25">
      <c r="A26" s="2" t="s">
        <v>10</v>
      </c>
      <c r="B26" s="43">
        <v>42769.416273148148</v>
      </c>
      <c r="C26" s="4">
        <v>42769.418738425928</v>
      </c>
      <c r="D26" s="2" t="s">
        <v>6</v>
      </c>
      <c r="E26" s="44">
        <v>1</v>
      </c>
      <c r="F26" s="10">
        <v>2.4537037037037036E-3</v>
      </c>
      <c r="G26" s="21">
        <v>212</v>
      </c>
    </row>
    <row r="27" spans="1:8" x14ac:dyDescent="0.25">
      <c r="A27" s="18" t="s">
        <v>10</v>
      </c>
      <c r="B27" s="34">
        <v>42769.416562500002</v>
      </c>
      <c r="C27" s="11">
        <v>42769.41851851852</v>
      </c>
      <c r="D27" s="18" t="s">
        <v>7</v>
      </c>
      <c r="E27" s="27">
        <v>1</v>
      </c>
      <c r="F27" s="20">
        <v>1.9444444444444442E-3</v>
      </c>
      <c r="G27" s="21">
        <v>168</v>
      </c>
    </row>
    <row r="28" spans="1:8" x14ac:dyDescent="0.25">
      <c r="A28" s="2" t="s">
        <v>10</v>
      </c>
      <c r="B28" s="43">
        <v>42769.422418981485</v>
      </c>
      <c r="C28" s="4">
        <v>42769.423298611109</v>
      </c>
      <c r="D28" s="2" t="s">
        <v>16</v>
      </c>
      <c r="E28" s="44">
        <v>1</v>
      </c>
      <c r="F28" s="10">
        <v>8.6805555555555551E-4</v>
      </c>
      <c r="G28" s="21">
        <v>75</v>
      </c>
    </row>
    <row r="29" spans="1:8" x14ac:dyDescent="0.25">
      <c r="A29" s="2" t="s">
        <v>10</v>
      </c>
      <c r="B29" s="43">
        <v>42769.422638888886</v>
      </c>
      <c r="C29" s="4">
        <v>42769.423298611109</v>
      </c>
      <c r="D29" s="2" t="s">
        <v>8</v>
      </c>
      <c r="E29" s="44">
        <v>1</v>
      </c>
      <c r="F29" s="10">
        <v>6.4814814814814813E-4</v>
      </c>
      <c r="G29" s="21">
        <v>56</v>
      </c>
    </row>
    <row r="30" spans="1:8" x14ac:dyDescent="0.25">
      <c r="A30" s="18" t="s">
        <v>10</v>
      </c>
      <c r="B30" s="34">
        <v>42769.42292824074</v>
      </c>
      <c r="C30" s="11">
        <v>42769.423298611109</v>
      </c>
      <c r="D30" s="18" t="s">
        <v>6</v>
      </c>
      <c r="E30" s="27">
        <v>1</v>
      </c>
      <c r="F30" s="20">
        <v>3.5879629629629635E-4</v>
      </c>
      <c r="G30" s="21">
        <v>31</v>
      </c>
    </row>
    <row r="31" spans="1:8" x14ac:dyDescent="0.25">
      <c r="A31" s="2" t="s">
        <v>10</v>
      </c>
      <c r="B31" s="43">
        <v>42769.42292824074</v>
      </c>
      <c r="C31" s="4">
        <v>42769.423298611109</v>
      </c>
      <c r="D31" s="2" t="s">
        <v>7</v>
      </c>
      <c r="E31" s="44">
        <v>1</v>
      </c>
      <c r="F31" s="10">
        <v>3.5879629629629635E-4</v>
      </c>
      <c r="G31" s="21">
        <v>31</v>
      </c>
    </row>
    <row r="32" spans="1:8" x14ac:dyDescent="0.25">
      <c r="A32" s="18" t="s">
        <v>10</v>
      </c>
      <c r="B32" s="34">
        <v>42789.425092592595</v>
      </c>
      <c r="C32" s="11">
        <v>42789.425150462965</v>
      </c>
      <c r="D32" s="18" t="s">
        <v>6</v>
      </c>
      <c r="E32" s="27"/>
      <c r="F32" s="20">
        <v>4.6296296296296294E-5</v>
      </c>
      <c r="G32" s="21">
        <v>4</v>
      </c>
    </row>
    <row r="33" spans="1:7" x14ac:dyDescent="0.25">
      <c r="A33" s="2" t="s">
        <v>10</v>
      </c>
      <c r="B33" s="43">
        <v>42789.425092592595</v>
      </c>
      <c r="C33" s="4"/>
      <c r="D33" s="2" t="s">
        <v>8</v>
      </c>
      <c r="E33" s="44">
        <v>1</v>
      </c>
      <c r="F33" s="10">
        <v>1.0648148148148147E-3</v>
      </c>
      <c r="G33" s="21">
        <v>92</v>
      </c>
    </row>
    <row r="34" spans="1:7" x14ac:dyDescent="0.25">
      <c r="A34" s="18" t="s">
        <v>10</v>
      </c>
      <c r="B34" s="34">
        <v>42789.425208333334</v>
      </c>
      <c r="C34" s="11">
        <v>42789.425266203703</v>
      </c>
      <c r="D34" s="18" t="s">
        <v>16</v>
      </c>
      <c r="E34" s="27"/>
      <c r="F34" s="20">
        <v>4.6296296296296294E-5</v>
      </c>
      <c r="G34" s="21">
        <v>4</v>
      </c>
    </row>
    <row r="35" spans="1:7" x14ac:dyDescent="0.25">
      <c r="A35" s="2" t="s">
        <v>10</v>
      </c>
      <c r="B35" s="43">
        <v>42789.425775462965</v>
      </c>
      <c r="C35" s="4">
        <v>42789.425833333335</v>
      </c>
      <c r="D35" s="2" t="s">
        <v>16</v>
      </c>
      <c r="E35" s="44"/>
      <c r="F35" s="10">
        <v>4.6296296296296294E-5</v>
      </c>
      <c r="G35" s="21">
        <v>4</v>
      </c>
    </row>
    <row r="36" spans="1:7" x14ac:dyDescent="0.25">
      <c r="A36" s="18" t="s">
        <v>10</v>
      </c>
      <c r="B36" s="34">
        <v>42789.436053240737</v>
      </c>
      <c r="C36" s="11"/>
      <c r="D36" s="18" t="s">
        <v>8</v>
      </c>
      <c r="E36" s="27">
        <v>1</v>
      </c>
      <c r="F36" s="20">
        <v>2.6828703703703702E-2</v>
      </c>
      <c r="G36" s="21">
        <v>2318</v>
      </c>
    </row>
    <row r="37" spans="1:7" x14ac:dyDescent="0.25">
      <c r="A37" s="2" t="s">
        <v>10</v>
      </c>
      <c r="B37" s="43">
        <v>42789.436111111114</v>
      </c>
      <c r="C37" s="4">
        <v>42789.436145833337</v>
      </c>
      <c r="D37" s="2" t="s">
        <v>16</v>
      </c>
      <c r="E37" s="44"/>
      <c r="F37" s="10">
        <v>2.3148148148148147E-5</v>
      </c>
      <c r="G37" s="21">
        <v>2</v>
      </c>
    </row>
    <row r="38" spans="1:7" x14ac:dyDescent="0.25">
      <c r="A38" s="18" t="s">
        <v>10</v>
      </c>
      <c r="B38" s="34">
        <v>42789.439953703702</v>
      </c>
      <c r="C38" s="11">
        <v>42789.440127314818</v>
      </c>
      <c r="D38" s="18" t="s">
        <v>16</v>
      </c>
      <c r="E38" s="27">
        <v>1</v>
      </c>
      <c r="F38" s="20">
        <v>1.6203703703703703E-4</v>
      </c>
      <c r="G38" s="21">
        <v>14</v>
      </c>
    </row>
    <row r="39" spans="1:7" x14ac:dyDescent="0.25">
      <c r="A39" s="2" t="s">
        <v>10</v>
      </c>
      <c r="B39" s="43">
        <v>42789.440185185187</v>
      </c>
      <c r="C39" s="4">
        <v>42789.440300925926</v>
      </c>
      <c r="D39" s="2" t="s">
        <v>6</v>
      </c>
      <c r="E39" s="44">
        <v>1</v>
      </c>
      <c r="F39" s="10">
        <v>1.0416666666666667E-4</v>
      </c>
      <c r="G39" s="21">
        <v>9</v>
      </c>
    </row>
    <row r="40" spans="1:7" x14ac:dyDescent="0.25">
      <c r="A40" s="18" t="s">
        <v>10</v>
      </c>
      <c r="B40" s="34">
        <v>42789.440416666665</v>
      </c>
      <c r="C40" s="11">
        <v>42789.440983796296</v>
      </c>
      <c r="D40" s="18" t="s">
        <v>16</v>
      </c>
      <c r="E40" s="27">
        <v>1</v>
      </c>
      <c r="F40" s="20">
        <v>5.5555555555555556E-4</v>
      </c>
      <c r="G40" s="21">
        <v>48</v>
      </c>
    </row>
    <row r="41" spans="1:7" x14ac:dyDescent="0.25">
      <c r="A41" s="2" t="s">
        <v>10</v>
      </c>
      <c r="B41" s="43">
        <v>42789.441041666665</v>
      </c>
      <c r="C41" s="4">
        <v>42789.441157407404</v>
      </c>
      <c r="D41" s="2" t="s">
        <v>16</v>
      </c>
      <c r="E41" s="44">
        <v>1</v>
      </c>
      <c r="F41" s="10">
        <v>1.0416666666666667E-4</v>
      </c>
      <c r="G41" s="21">
        <v>9</v>
      </c>
    </row>
    <row r="42" spans="1:7" x14ac:dyDescent="0.25">
      <c r="A42" s="2" t="s">
        <v>10</v>
      </c>
      <c r="B42" s="43">
        <v>42789.441666666666</v>
      </c>
      <c r="C42" s="4">
        <v>42789.441782407404</v>
      </c>
      <c r="D42" s="2" t="s">
        <v>6</v>
      </c>
      <c r="E42" s="44">
        <v>1</v>
      </c>
      <c r="F42" s="10">
        <v>1.0416666666666667E-4</v>
      </c>
      <c r="G42" s="21">
        <v>9</v>
      </c>
    </row>
    <row r="43" spans="1:7" x14ac:dyDescent="0.25">
      <c r="A43" s="29" t="s">
        <v>10</v>
      </c>
      <c r="B43" s="35">
        <v>42789.441886574074</v>
      </c>
      <c r="C43" s="31">
        <v>42789.44222222222</v>
      </c>
      <c r="D43" s="29" t="s">
        <v>6</v>
      </c>
      <c r="E43" s="17">
        <v>1</v>
      </c>
      <c r="F43" s="38">
        <v>3.2407407407407406E-4</v>
      </c>
      <c r="G43" s="21">
        <v>28</v>
      </c>
    </row>
    <row r="44" spans="1:7" x14ac:dyDescent="0.25">
      <c r="A44" s="42" t="s">
        <v>10</v>
      </c>
      <c r="B44" s="45">
        <v>42789.442384259259</v>
      </c>
      <c r="C44" s="46">
        <v>42789.442928240744</v>
      </c>
      <c r="D44" s="42" t="s">
        <v>16</v>
      </c>
      <c r="E44" s="47">
        <v>1</v>
      </c>
      <c r="F44" s="41">
        <v>5.3240740740740744E-4</v>
      </c>
      <c r="G44" s="21">
        <v>46</v>
      </c>
    </row>
    <row r="45" spans="1:7" x14ac:dyDescent="0.25">
      <c r="A45" s="29" t="s">
        <v>10</v>
      </c>
      <c r="B45" s="35">
        <v>42789.442708333336</v>
      </c>
      <c r="C45" s="31">
        <v>42789.442754629628</v>
      </c>
      <c r="D45" s="29" t="s">
        <v>7</v>
      </c>
      <c r="E45" s="17"/>
      <c r="F45" s="38">
        <v>2.3148148148148147E-5</v>
      </c>
      <c r="G45" s="21">
        <v>2</v>
      </c>
    </row>
    <row r="46" spans="1:7" x14ac:dyDescent="0.25">
      <c r="A46" s="42" t="s">
        <v>10</v>
      </c>
      <c r="B46" s="45">
        <v>42789.443831018521</v>
      </c>
      <c r="C46" s="46">
        <v>42789.444155092591</v>
      </c>
      <c r="D46" s="42" t="s">
        <v>6</v>
      </c>
      <c r="E46" s="47">
        <v>1</v>
      </c>
      <c r="F46" s="41">
        <v>3.0092592592592595E-4</v>
      </c>
      <c r="G46" s="21">
        <v>26</v>
      </c>
    </row>
    <row r="47" spans="1:7" x14ac:dyDescent="0.25">
      <c r="A47" s="29" t="s">
        <v>10</v>
      </c>
      <c r="B47" s="35">
        <v>42789.445069444446</v>
      </c>
      <c r="C47" s="31">
        <v>42789.445127314815</v>
      </c>
      <c r="D47" s="29" t="s">
        <v>7</v>
      </c>
      <c r="E47" s="17"/>
      <c r="F47" s="38">
        <v>4.6296296296296294E-5</v>
      </c>
      <c r="G47" s="21">
        <v>4</v>
      </c>
    </row>
    <row r="48" spans="1:7" x14ac:dyDescent="0.25">
      <c r="A48" s="42" t="s">
        <v>10</v>
      </c>
      <c r="B48" s="45">
        <v>42789.4455787037</v>
      </c>
      <c r="C48" s="46">
        <v>42789.445914351854</v>
      </c>
      <c r="D48" s="42" t="s">
        <v>16</v>
      </c>
      <c r="E48" s="47">
        <v>1</v>
      </c>
      <c r="F48" s="41">
        <v>3.1250000000000001E-4</v>
      </c>
      <c r="G48" s="21">
        <v>27</v>
      </c>
    </row>
    <row r="49" spans="1:7" x14ac:dyDescent="0.25">
      <c r="A49" s="29" t="s">
        <v>10</v>
      </c>
      <c r="B49" s="35">
        <v>42789.450231481482</v>
      </c>
      <c r="C49" s="31">
        <v>42789.45034722222</v>
      </c>
      <c r="D49" s="29" t="s">
        <v>7</v>
      </c>
      <c r="E49" s="17">
        <v>1</v>
      </c>
      <c r="F49" s="38">
        <v>1.0416666666666667E-4</v>
      </c>
      <c r="G49" s="21">
        <v>9</v>
      </c>
    </row>
    <row r="50" spans="1:7" x14ac:dyDescent="0.25">
      <c r="A50" s="42" t="s">
        <v>10</v>
      </c>
      <c r="B50" s="45">
        <v>42789.450231481482</v>
      </c>
      <c r="C50" s="46">
        <v>42789.450462962966</v>
      </c>
      <c r="D50" s="42" t="s">
        <v>16</v>
      </c>
      <c r="E50" s="47">
        <v>1</v>
      </c>
      <c r="F50" s="41">
        <v>2.199074074074074E-4</v>
      </c>
      <c r="G50" s="21">
        <v>19</v>
      </c>
    </row>
    <row r="51" spans="1:7" x14ac:dyDescent="0.25">
      <c r="A51" s="29" t="s">
        <v>10</v>
      </c>
      <c r="B51" s="35">
        <v>42789.450567129628</v>
      </c>
      <c r="C51" s="31">
        <v>42789.450682870367</v>
      </c>
      <c r="D51" s="29" t="s">
        <v>7</v>
      </c>
      <c r="E51" s="17">
        <v>1</v>
      </c>
      <c r="F51" s="38">
        <v>1.0416666666666667E-4</v>
      </c>
      <c r="G51" s="21">
        <v>9</v>
      </c>
    </row>
    <row r="52" spans="1:7" x14ac:dyDescent="0.25">
      <c r="A52" s="42" t="s">
        <v>10</v>
      </c>
      <c r="B52" s="45">
        <v>42789.450914351852</v>
      </c>
      <c r="C52" s="46">
        <v>42789.451180555552</v>
      </c>
      <c r="D52" s="42" t="s">
        <v>6</v>
      </c>
      <c r="E52" s="47">
        <v>1</v>
      </c>
      <c r="F52" s="41">
        <v>2.5462962962962961E-4</v>
      </c>
      <c r="G52" s="21">
        <v>22</v>
      </c>
    </row>
    <row r="53" spans="1:7" x14ac:dyDescent="0.25">
      <c r="A53" s="42" t="s">
        <v>10</v>
      </c>
      <c r="B53" s="45">
        <v>42789.45108796296</v>
      </c>
      <c r="C53" s="46">
        <v>42789.451180555552</v>
      </c>
      <c r="D53" s="42" t="s">
        <v>7</v>
      </c>
      <c r="E53" s="47">
        <v>1</v>
      </c>
      <c r="F53" s="41">
        <v>8.1018518518518516E-5</v>
      </c>
      <c r="G53" s="21">
        <v>7</v>
      </c>
    </row>
    <row r="54" spans="1:7" x14ac:dyDescent="0.25">
      <c r="A54" s="29" t="s">
        <v>10</v>
      </c>
      <c r="B54" s="35">
        <v>42789.45108796296</v>
      </c>
      <c r="C54" s="31">
        <v>42789.451180555552</v>
      </c>
      <c r="D54" s="29" t="s">
        <v>16</v>
      </c>
      <c r="E54" s="17">
        <v>1</v>
      </c>
      <c r="F54" s="38">
        <v>8.1018518518518516E-5</v>
      </c>
      <c r="G54" s="21">
        <v>7</v>
      </c>
    </row>
    <row r="55" spans="1:7" x14ac:dyDescent="0.25">
      <c r="A55" s="42" t="s">
        <v>10</v>
      </c>
      <c r="B55" s="45">
        <v>42789.454201388886</v>
      </c>
      <c r="C55" s="46">
        <v>42789.454652777778</v>
      </c>
      <c r="D55" s="42" t="s">
        <v>6</v>
      </c>
      <c r="E55" s="47">
        <v>1</v>
      </c>
      <c r="F55" s="41">
        <v>4.2824074074074075E-4</v>
      </c>
      <c r="G55" s="21">
        <v>37</v>
      </c>
    </row>
    <row r="56" spans="1:7" x14ac:dyDescent="0.25">
      <c r="A56" s="42" t="s">
        <v>10</v>
      </c>
      <c r="B56" s="45">
        <v>42789.45521990741</v>
      </c>
      <c r="C56" s="46">
        <v>42789.455405092594</v>
      </c>
      <c r="D56" s="42" t="s">
        <v>16</v>
      </c>
      <c r="E56" s="47">
        <v>1</v>
      </c>
      <c r="F56" s="41">
        <v>8.1018518518518516E-5</v>
      </c>
      <c r="G56" s="21">
        <v>7</v>
      </c>
    </row>
    <row r="57" spans="1:7" x14ac:dyDescent="0.25">
      <c r="A57" s="29" t="s">
        <v>10</v>
      </c>
      <c r="B57" s="35">
        <v>42789.457719907405</v>
      </c>
      <c r="C57" s="31">
        <v>42789.458402777775</v>
      </c>
      <c r="D57" s="29" t="s">
        <v>16</v>
      </c>
      <c r="E57" s="17">
        <v>1</v>
      </c>
      <c r="F57" s="38">
        <v>3.5879629629629635E-4</v>
      </c>
      <c r="G57" s="21">
        <v>31</v>
      </c>
    </row>
    <row r="58" spans="1:7" x14ac:dyDescent="0.25">
      <c r="A58" s="42" t="s">
        <v>10</v>
      </c>
      <c r="B58" s="45">
        <v>42789.458518518521</v>
      </c>
      <c r="C58" s="46">
        <v>42789.458634259259</v>
      </c>
      <c r="D58" s="42" t="s">
        <v>16</v>
      </c>
      <c r="E58" s="47">
        <v>1</v>
      </c>
      <c r="F58" s="41">
        <v>1.0416666666666667E-4</v>
      </c>
      <c r="G58" s="21">
        <v>9</v>
      </c>
    </row>
    <row r="59" spans="1:7" x14ac:dyDescent="0.25">
      <c r="A59" s="29" t="s">
        <v>10</v>
      </c>
      <c r="B59" s="35">
        <v>42789.461689814816</v>
      </c>
      <c r="C59" s="31">
        <v>42789.461805555555</v>
      </c>
      <c r="D59" s="29" t="s">
        <v>16</v>
      </c>
      <c r="E59" s="17">
        <v>1</v>
      </c>
      <c r="F59" s="38">
        <v>1.0416666666666667E-4</v>
      </c>
      <c r="G59" s="21">
        <v>9</v>
      </c>
    </row>
    <row r="60" spans="1:7" x14ac:dyDescent="0.25">
      <c r="A60" s="42" t="s">
        <v>10</v>
      </c>
      <c r="B60" s="45">
        <v>42789.46266203704</v>
      </c>
      <c r="C60" s="46">
        <v>42789.462824074071</v>
      </c>
      <c r="D60" s="42" t="s">
        <v>16</v>
      </c>
      <c r="E60" s="47">
        <v>1</v>
      </c>
      <c r="F60" s="41">
        <v>1.5046296296296297E-4</v>
      </c>
      <c r="G60" s="21">
        <v>13</v>
      </c>
    </row>
    <row r="61" spans="1:7" x14ac:dyDescent="0.25">
      <c r="A61" s="29" t="s">
        <v>10</v>
      </c>
      <c r="B61" s="35">
        <v>42789.462824074071</v>
      </c>
      <c r="C61" s="31"/>
      <c r="D61" s="29" t="s">
        <v>6</v>
      </c>
      <c r="E61" s="17"/>
      <c r="F61" s="38">
        <v>5.7870370370370366E-5</v>
      </c>
      <c r="G61" s="21">
        <v>5</v>
      </c>
    </row>
    <row r="62" spans="1:7" x14ac:dyDescent="0.25">
      <c r="A62" s="42" t="s">
        <v>10</v>
      </c>
      <c r="B62" s="45">
        <v>42789.470567129632</v>
      </c>
      <c r="C62" s="46"/>
      <c r="D62" s="42" t="s">
        <v>8</v>
      </c>
      <c r="E62" s="47">
        <v>1</v>
      </c>
      <c r="F62" s="41">
        <v>2.5462962962962961E-4</v>
      </c>
      <c r="G62" s="21">
        <v>22</v>
      </c>
    </row>
    <row r="63" spans="1:7" x14ac:dyDescent="0.25">
      <c r="A63" s="48" t="s">
        <v>10</v>
      </c>
      <c r="B63" s="35">
        <v>42789.470601851855</v>
      </c>
      <c r="C63" s="31">
        <v>42789.470659722225</v>
      </c>
      <c r="D63" s="29" t="s">
        <v>16</v>
      </c>
      <c r="E63" s="17"/>
      <c r="F63" s="38">
        <v>4.6296296296296294E-5</v>
      </c>
      <c r="G63" s="21">
        <v>4</v>
      </c>
    </row>
    <row r="64" spans="1:7" x14ac:dyDescent="0.25">
      <c r="A64" s="42"/>
      <c r="B64" s="45"/>
      <c r="C64" s="46"/>
      <c r="D64" s="42"/>
      <c r="E64" s="47"/>
      <c r="F64" s="41"/>
    </row>
    <row r="65" spans="1:6" x14ac:dyDescent="0.25">
      <c r="A65" s="42"/>
      <c r="B65" s="45"/>
      <c r="C65" s="46"/>
      <c r="D65" s="42"/>
      <c r="E65" s="47"/>
      <c r="F65" s="41"/>
    </row>
    <row r="66" spans="1:6" x14ac:dyDescent="0.25">
      <c r="A66" s="29"/>
      <c r="B66" s="35"/>
      <c r="C66" s="31"/>
      <c r="D66" s="29"/>
      <c r="E66" s="17"/>
      <c r="F66" s="38"/>
    </row>
    <row r="67" spans="1:6" x14ac:dyDescent="0.25">
      <c r="A67" s="42"/>
      <c r="B67" s="45"/>
      <c r="C67" s="46"/>
      <c r="D67" s="42"/>
      <c r="E67" s="47"/>
      <c r="F67" s="41"/>
    </row>
    <row r="68" spans="1:6" x14ac:dyDescent="0.25">
      <c r="A68" s="30"/>
      <c r="B68" s="36"/>
      <c r="C68" s="46"/>
      <c r="D68" s="42"/>
      <c r="E68" s="47"/>
      <c r="F68" s="41"/>
    </row>
    <row r="69" spans="1:6" x14ac:dyDescent="0.25">
      <c r="A69" s="42"/>
      <c r="B69" s="41"/>
      <c r="C69" s="32"/>
      <c r="D69" s="30"/>
      <c r="E69" s="39"/>
      <c r="F69" s="40"/>
    </row>
  </sheetData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2152ec2e-c0c1-4834-9aa1-dc782ab0e2aa" origin="userSelected">
  <element uid="id_classification_nonbusiness" value=""/>
</sisl>
</file>

<file path=customXml/itemProps1.xml><?xml version="1.0" encoding="utf-8"?>
<ds:datastoreItem xmlns:ds="http://schemas.openxmlformats.org/officeDocument/2006/customXml" ds:itemID="{A7A47339-BEC1-4952-B029-EEBEC4CF1F32}">
  <ds:schemaRefs>
    <ds:schemaRef ds:uri="http://www.w3.org/2001/XMLSchema"/>
    <ds:schemaRef ds:uri="http://www.boldonjames.com/2008/01/sie/internal/label"/>
  </ds:schemaRefs>
</ds:datastoreItem>
</file>

<file path=docProps/CustomMKOP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KProdID">
    <vt:lpwstr>ZMOutlook</vt:lpwstr>
  </property>
  <property fmtid="{D5CDD505-2E9C-101B-9397-08002B2CF9AE}" pid="3" name="SizeBefore">
    <vt:lpwstr>120932</vt:lpwstr>
  </property>
  <property fmtid="{D5CDD505-2E9C-101B-9397-08002B2CF9AE}" pid="4" name="OptimizationTime">
    <vt:lpwstr>20190531_1419</vt:lpwstr>
  </property>
</Propertie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Faurecia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LOPEZ Damien</dc:creator>
  <cp:lastModifiedBy>LOPEZ Damien</cp:lastModifiedBy>
  <dcterms:created xsi:type="dcterms:W3CDTF">2016-10-20T08:36:30Z</dcterms:created>
  <dcterms:modified xsi:type="dcterms:W3CDTF">2017-09-29T12:04:21Z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f80281cd-0766-4495-85c5-24dee100083e</vt:lpwstr>
  </property>
  <property fmtid="{D5CDD505-2E9C-101B-9397-08002B2CF9AE}" pid="3" name="bjSaver">
    <vt:lpwstr>z4fWekaEAetdTjXh4wy7l+VlwFBJ+QSS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policy="2152ec2e-c0c1-4834-9aa1-dc782ab0e2aa" origin="userSelected" xmlns="http://www.boldonj</vt:lpwstr>
  </property>
  <property fmtid="{D5CDD505-2E9C-101B-9397-08002B2CF9AE}" pid="5" name="bjDocumentLabelXML-0">
    <vt:lpwstr>ames.com/2008/01/sie/internal/label"&gt;&lt;element uid="id_classification_nonbusiness" value="" /&gt;&lt;/sisl&gt;</vt:lpwstr>
  </property>
  <property fmtid="{D5CDD505-2E9C-101B-9397-08002B2CF9AE}" pid="6" name="bjDocumentSecurityLabel">
    <vt:lpwstr>P U B L I C   </vt:lpwstr>
  </property>
</Properties>
</file>